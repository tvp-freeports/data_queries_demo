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39338\Desktop\TVIP\Automating and scaling up the project\UCITS IFs\Processing\Eurizon Fund saJ2023\"/>
    </mc:Choice>
  </mc:AlternateContent>
  <xr:revisionPtr revIDLastSave="0" documentId="13_ncr:1_{6B580BF3-514F-49DA-BDD0-DBA2562EC9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5" i="1"/>
  <c r="I5" i="1" s="1"/>
  <c r="H6" i="1"/>
  <c r="I6" i="1" s="1"/>
  <c r="H25" i="1"/>
  <c r="I25" i="1" s="1"/>
  <c r="H33" i="1"/>
  <c r="I33" i="1" s="1"/>
  <c r="H49" i="1"/>
  <c r="I49" i="1" s="1"/>
  <c r="H59" i="1"/>
  <c r="I59" i="1" s="1"/>
  <c r="H88" i="1"/>
  <c r="I88" i="1" s="1"/>
  <c r="H92" i="1"/>
  <c r="I92" i="1" s="1"/>
  <c r="H93" i="1"/>
  <c r="I93" i="1" s="1"/>
  <c r="H96" i="1"/>
  <c r="I96" i="1" s="1"/>
  <c r="H102" i="1"/>
  <c r="I102" i="1" s="1"/>
  <c r="H103" i="1"/>
  <c r="I103" i="1" s="1"/>
  <c r="H106" i="1"/>
  <c r="I106" i="1" s="1"/>
  <c r="H110" i="1"/>
  <c r="I110" i="1" s="1"/>
  <c r="H111" i="1"/>
  <c r="I111" i="1" s="1"/>
  <c r="H136" i="1"/>
  <c r="I136" i="1" s="1"/>
  <c r="I137" i="1" s="1"/>
  <c r="H157" i="1"/>
  <c r="I157" i="1" s="1"/>
  <c r="H158" i="1"/>
  <c r="I158" i="1" s="1"/>
  <c r="H160" i="1"/>
  <c r="I160" i="1" s="1"/>
  <c r="H179" i="1"/>
  <c r="I179" i="1" s="1"/>
  <c r="H215" i="1"/>
  <c r="I215" i="1" s="1"/>
  <c r="H216" i="1"/>
  <c r="I216" i="1" s="1"/>
  <c r="H217" i="1"/>
  <c r="I217" i="1" s="1"/>
  <c r="H219" i="1"/>
  <c r="I219" i="1" s="1"/>
  <c r="O10" i="1"/>
  <c r="H153" i="1" s="1"/>
  <c r="I153" i="1" s="1"/>
  <c r="O12" i="1"/>
  <c r="H218" i="1" s="1"/>
  <c r="I218" i="1" s="1"/>
  <c r="O11" i="1"/>
  <c r="H178" i="1" s="1"/>
  <c r="I178" i="1" s="1"/>
  <c r="O9" i="1"/>
  <c r="H150" i="1" s="1"/>
  <c r="I150" i="1" s="1"/>
  <c r="I151" i="1" s="1"/>
  <c r="O8" i="1"/>
  <c r="O6" i="1"/>
  <c r="H54" i="1" s="1"/>
  <c r="I54" i="1" s="1"/>
  <c r="O5" i="1"/>
  <c r="O4" i="1"/>
  <c r="H15" i="1" s="1"/>
  <c r="I15" i="1" s="1"/>
  <c r="I16" i="1" s="1"/>
  <c r="O3" i="1"/>
  <c r="H168" i="1" s="1"/>
  <c r="I168" i="1" s="1"/>
  <c r="O2" i="1"/>
  <c r="H188" i="1" l="1"/>
  <c r="I188" i="1" s="1"/>
  <c r="I220" i="1"/>
  <c r="H184" i="1"/>
  <c r="I184" i="1" s="1"/>
  <c r="H212" i="1"/>
  <c r="I212" i="1" s="1"/>
  <c r="H196" i="1"/>
  <c r="I196" i="1" s="1"/>
  <c r="H180" i="1"/>
  <c r="I180" i="1" s="1"/>
  <c r="H8" i="1"/>
  <c r="I8" i="1" s="1"/>
  <c r="H12" i="1"/>
  <c r="I12" i="1" s="1"/>
  <c r="H19" i="1"/>
  <c r="I19" i="1" s="1"/>
  <c r="H27" i="1"/>
  <c r="I27" i="1" s="1"/>
  <c r="H31" i="1"/>
  <c r="I31" i="1" s="1"/>
  <c r="H35" i="1"/>
  <c r="I35" i="1" s="1"/>
  <c r="H39" i="1"/>
  <c r="I39" i="1" s="1"/>
  <c r="H47" i="1"/>
  <c r="I47" i="1" s="1"/>
  <c r="H56" i="1"/>
  <c r="I56" i="1" s="1"/>
  <c r="H60" i="1"/>
  <c r="I60" i="1" s="1"/>
  <c r="H64" i="1"/>
  <c r="I64" i="1" s="1"/>
  <c r="H69" i="1"/>
  <c r="I69" i="1" s="1"/>
  <c r="H73" i="1"/>
  <c r="I73" i="1" s="1"/>
  <c r="H77" i="1"/>
  <c r="I77" i="1" s="1"/>
  <c r="H81" i="1"/>
  <c r="I81" i="1" s="1"/>
  <c r="H117" i="1"/>
  <c r="I117" i="1" s="1"/>
  <c r="H121" i="1"/>
  <c r="I121" i="1" s="1"/>
  <c r="H125" i="1"/>
  <c r="I125" i="1" s="1"/>
  <c r="H129" i="1"/>
  <c r="I129" i="1" s="1"/>
  <c r="H9" i="1"/>
  <c r="I9" i="1" s="1"/>
  <c r="H13" i="1"/>
  <c r="I13" i="1" s="1"/>
  <c r="H20" i="1"/>
  <c r="I20" i="1" s="1"/>
  <c r="H28" i="1"/>
  <c r="I28" i="1" s="1"/>
  <c r="H32" i="1"/>
  <c r="I32" i="1" s="1"/>
  <c r="H36" i="1"/>
  <c r="I36" i="1" s="1"/>
  <c r="H57" i="1"/>
  <c r="I57" i="1" s="1"/>
  <c r="H65" i="1"/>
  <c r="I65" i="1" s="1"/>
  <c r="H70" i="1"/>
  <c r="I70" i="1" s="1"/>
  <c r="H74" i="1"/>
  <c r="I74" i="1" s="1"/>
  <c r="H78" i="1"/>
  <c r="I78" i="1" s="1"/>
  <c r="H82" i="1"/>
  <c r="I82" i="1" s="1"/>
  <c r="H118" i="1"/>
  <c r="I118" i="1" s="1"/>
  <c r="H122" i="1"/>
  <c r="I122" i="1" s="1"/>
  <c r="H126" i="1"/>
  <c r="I126" i="1" s="1"/>
  <c r="H130" i="1"/>
  <c r="I130" i="1" s="1"/>
  <c r="H10" i="1"/>
  <c r="I10" i="1" s="1"/>
  <c r="H21" i="1"/>
  <c r="I21" i="1" s="1"/>
  <c r="H29" i="1"/>
  <c r="I29" i="1" s="1"/>
  <c r="H37" i="1"/>
  <c r="I37" i="1" s="1"/>
  <c r="H45" i="1"/>
  <c r="I45" i="1" s="1"/>
  <c r="H62" i="1"/>
  <c r="I62" i="1" s="1"/>
  <c r="H71" i="1"/>
  <c r="I71" i="1" s="1"/>
  <c r="H79" i="1"/>
  <c r="I79" i="1" s="1"/>
  <c r="H115" i="1"/>
  <c r="I115" i="1" s="1"/>
  <c r="H132" i="1"/>
  <c r="I132" i="1" s="1"/>
  <c r="H146" i="1"/>
  <c r="I146" i="1" s="1"/>
  <c r="H11" i="1"/>
  <c r="I11" i="1" s="1"/>
  <c r="H30" i="1"/>
  <c r="I30" i="1" s="1"/>
  <c r="H38" i="1"/>
  <c r="I38" i="1" s="1"/>
  <c r="H46" i="1"/>
  <c r="I46" i="1" s="1"/>
  <c r="H55" i="1"/>
  <c r="I55" i="1" s="1"/>
  <c r="H72" i="1"/>
  <c r="I72" i="1" s="1"/>
  <c r="H80" i="1"/>
  <c r="I80" i="1" s="1"/>
  <c r="H116" i="1"/>
  <c r="I116" i="1" s="1"/>
  <c r="H124" i="1"/>
  <c r="I124" i="1" s="1"/>
  <c r="H133" i="1"/>
  <c r="I133" i="1" s="1"/>
  <c r="H139" i="1"/>
  <c r="I139" i="1" s="1"/>
  <c r="H143" i="1"/>
  <c r="I143" i="1" s="1"/>
  <c r="H147" i="1"/>
  <c r="I147" i="1" s="1"/>
  <c r="H165" i="1"/>
  <c r="I165" i="1" s="1"/>
  <c r="H169" i="1"/>
  <c r="I169" i="1" s="1"/>
  <c r="H173" i="1"/>
  <c r="I173" i="1" s="1"/>
  <c r="H177" i="1"/>
  <c r="I177" i="1" s="1"/>
  <c r="H181" i="1"/>
  <c r="I181" i="1" s="1"/>
  <c r="H185" i="1"/>
  <c r="I185" i="1" s="1"/>
  <c r="H189" i="1"/>
  <c r="I189" i="1" s="1"/>
  <c r="H193" i="1"/>
  <c r="I193" i="1" s="1"/>
  <c r="H197" i="1"/>
  <c r="I197" i="1" s="1"/>
  <c r="H201" i="1"/>
  <c r="I201" i="1" s="1"/>
  <c r="H205" i="1"/>
  <c r="I205" i="1" s="1"/>
  <c r="H209" i="1"/>
  <c r="I209" i="1" s="1"/>
  <c r="H213" i="1"/>
  <c r="I213" i="1" s="1"/>
  <c r="H41" i="1"/>
  <c r="I41" i="1" s="1"/>
  <c r="H75" i="1"/>
  <c r="I75" i="1" s="1"/>
  <c r="H83" i="1"/>
  <c r="I83" i="1" s="1"/>
  <c r="H119" i="1"/>
  <c r="I119" i="1" s="1"/>
  <c r="H127" i="1"/>
  <c r="I127" i="1" s="1"/>
  <c r="H134" i="1"/>
  <c r="I134" i="1" s="1"/>
  <c r="H140" i="1"/>
  <c r="I140" i="1" s="1"/>
  <c r="H144" i="1"/>
  <c r="I144" i="1" s="1"/>
  <c r="H148" i="1"/>
  <c r="I148" i="1" s="1"/>
  <c r="H166" i="1"/>
  <c r="I166" i="1" s="1"/>
  <c r="H170" i="1"/>
  <c r="I170" i="1" s="1"/>
  <c r="H174" i="1"/>
  <c r="I174" i="1" s="1"/>
  <c r="H182" i="1"/>
  <c r="I182" i="1" s="1"/>
  <c r="H186" i="1"/>
  <c r="I186" i="1" s="1"/>
  <c r="H190" i="1"/>
  <c r="I190" i="1" s="1"/>
  <c r="H194" i="1"/>
  <c r="I194" i="1" s="1"/>
  <c r="H198" i="1"/>
  <c r="I198" i="1" s="1"/>
  <c r="H202" i="1"/>
  <c r="I202" i="1" s="1"/>
  <c r="H206" i="1"/>
  <c r="I206" i="1" s="1"/>
  <c r="H210" i="1"/>
  <c r="I210" i="1" s="1"/>
  <c r="H26" i="1"/>
  <c r="I26" i="1" s="1"/>
  <c r="H34" i="1"/>
  <c r="I34" i="1" s="1"/>
  <c r="H42" i="1"/>
  <c r="I42" i="1" s="1"/>
  <c r="H51" i="1"/>
  <c r="I51" i="1" s="1"/>
  <c r="H68" i="1"/>
  <c r="I68" i="1" s="1"/>
  <c r="H76" i="1"/>
  <c r="I76" i="1" s="1"/>
  <c r="H84" i="1"/>
  <c r="I84" i="1" s="1"/>
  <c r="H120" i="1"/>
  <c r="I120" i="1" s="1"/>
  <c r="H128" i="1"/>
  <c r="I128" i="1" s="1"/>
  <c r="H141" i="1"/>
  <c r="I141" i="1" s="1"/>
  <c r="H145" i="1"/>
  <c r="I145" i="1" s="1"/>
  <c r="H167" i="1"/>
  <c r="I167" i="1" s="1"/>
  <c r="H171" i="1"/>
  <c r="I171" i="1" s="1"/>
  <c r="H175" i="1"/>
  <c r="I175" i="1" s="1"/>
  <c r="H183" i="1"/>
  <c r="I183" i="1" s="1"/>
  <c r="H187" i="1"/>
  <c r="I187" i="1" s="1"/>
  <c r="H191" i="1"/>
  <c r="I191" i="1" s="1"/>
  <c r="H195" i="1"/>
  <c r="I195" i="1" s="1"/>
  <c r="H199" i="1"/>
  <c r="I199" i="1" s="1"/>
  <c r="H203" i="1"/>
  <c r="I203" i="1" s="1"/>
  <c r="H207" i="1"/>
  <c r="I207" i="1" s="1"/>
  <c r="H211" i="1"/>
  <c r="I211" i="1" s="1"/>
  <c r="H123" i="1"/>
  <c r="I123" i="1" s="1"/>
  <c r="H138" i="1"/>
  <c r="I138" i="1" s="1"/>
  <c r="H142" i="1"/>
  <c r="I142" i="1" s="1"/>
  <c r="H99" i="1"/>
  <c r="I99" i="1" s="1"/>
  <c r="H100" i="1"/>
  <c r="I100" i="1" s="1"/>
  <c r="H162" i="1"/>
  <c r="I162" i="1" s="1"/>
  <c r="I163" i="1" s="1"/>
  <c r="H204" i="1"/>
  <c r="I204" i="1" s="1"/>
  <c r="H176" i="1"/>
  <c r="I176" i="1" s="1"/>
  <c r="H200" i="1"/>
  <c r="I200" i="1" s="1"/>
  <c r="H172" i="1"/>
  <c r="I172" i="1" s="1"/>
  <c r="H208" i="1"/>
  <c r="I208" i="1" s="1"/>
  <c r="H192" i="1"/>
  <c r="I192" i="1" s="1"/>
  <c r="H164" i="1"/>
  <c r="I164" i="1" s="1"/>
  <c r="H152" i="1"/>
  <c r="I152" i="1" s="1"/>
  <c r="I154" i="1" s="1"/>
  <c r="H17" i="1"/>
  <c r="I17" i="1" s="1"/>
  <c r="I18" i="1" s="1"/>
  <c r="H52" i="1"/>
  <c r="I52" i="1" s="1"/>
  <c r="H53" i="1"/>
  <c r="I53" i="1" s="1"/>
  <c r="H61" i="1"/>
  <c r="I61" i="1" s="1"/>
  <c r="H155" i="1"/>
  <c r="I155" i="1" s="1"/>
  <c r="I156" i="1" s="1"/>
  <c r="H66" i="1"/>
  <c r="I66" i="1" s="1"/>
  <c r="H58" i="1"/>
  <c r="I58" i="1" s="1"/>
  <c r="H3" i="1"/>
  <c r="I3" i="1" s="1"/>
  <c r="H23" i="1"/>
  <c r="I23" i="1" s="1"/>
  <c r="H43" i="1"/>
  <c r="I43" i="1" s="1"/>
  <c r="H86" i="1"/>
  <c r="I86" i="1" s="1"/>
  <c r="H90" i="1"/>
  <c r="I90" i="1" s="1"/>
  <c r="H94" i="1"/>
  <c r="I94" i="1" s="1"/>
  <c r="H104" i="1"/>
  <c r="I104" i="1" s="1"/>
  <c r="H108" i="1"/>
  <c r="I108" i="1" s="1"/>
  <c r="H112" i="1"/>
  <c r="I112" i="1" s="1"/>
  <c r="H4" i="1"/>
  <c r="I4" i="1" s="1"/>
  <c r="H24" i="1"/>
  <c r="I24" i="1" s="1"/>
  <c r="H40" i="1"/>
  <c r="I40" i="1" s="1"/>
  <c r="H44" i="1"/>
  <c r="I44" i="1" s="1"/>
  <c r="H48" i="1"/>
  <c r="I48" i="1" s="1"/>
  <c r="H87" i="1"/>
  <c r="I87" i="1" s="1"/>
  <c r="H91" i="1"/>
  <c r="I91" i="1" s="1"/>
  <c r="H95" i="1"/>
  <c r="I95" i="1" s="1"/>
  <c r="H105" i="1"/>
  <c r="I105" i="1" s="1"/>
  <c r="H109" i="1"/>
  <c r="I109" i="1" s="1"/>
  <c r="H113" i="1"/>
  <c r="I113" i="1" s="1"/>
  <c r="H159" i="1"/>
  <c r="I159" i="1" s="1"/>
  <c r="I161" i="1" s="1"/>
  <c r="H107" i="1"/>
  <c r="I107" i="1" s="1"/>
  <c r="H97" i="1"/>
  <c r="I97" i="1" s="1"/>
  <c r="H89" i="1"/>
  <c r="I89" i="1" s="1"/>
  <c r="H63" i="1"/>
  <c r="I63" i="1" s="1"/>
  <c r="H22" i="1"/>
  <c r="I22" i="1" s="1"/>
  <c r="I214" i="1" l="1"/>
  <c r="I114" i="1"/>
  <c r="I7" i="1"/>
  <c r="I85" i="1"/>
  <c r="I135" i="1"/>
  <c r="I14" i="1"/>
  <c r="I131" i="1"/>
  <c r="I149" i="1"/>
  <c r="I67" i="1"/>
  <c r="I50" i="1"/>
  <c r="I98" i="1"/>
  <c r="I101" i="1"/>
  <c r="I2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39338</author>
  </authors>
  <commentList>
    <comment ref="A1" authorId="0" shapeId="0" xr:uid="{E1A7A175-EAA8-4F93-9970-731FD2AAC195}">
      <text>
        <r>
          <rPr>
            <b/>
            <sz val="9"/>
            <color indexed="81"/>
            <rFont val="Tahoma"/>
            <family val="2"/>
          </rPr>
          <t>39338:</t>
        </r>
        <r>
          <rPr>
            <sz val="9"/>
            <color indexed="81"/>
            <rFont val="Tahoma"/>
            <family val="2"/>
          </rPr>
          <t xml:space="preserve">
I am "manually" grouping by alphabetic order here.
Most efficient way?</t>
        </r>
      </text>
    </comment>
    <comment ref="G1" authorId="0" shapeId="0" xr:uid="{81D67A12-9075-4B61-BB72-617A45E58871}">
      <text>
        <r>
          <rPr>
            <b/>
            <sz val="9"/>
            <color indexed="81"/>
            <rFont val="Tahoma"/>
            <charset val="1"/>
          </rPr>
          <t xml:space="preserve">39338: 
</t>
        </r>
        <r>
          <rPr>
            <sz val="9"/>
            <color indexed="81"/>
            <rFont val="Tahoma"/>
            <family val="2"/>
          </rPr>
          <t>I am manually converting this to numeric. Would be great to have all the relevant columns as numeric already in the output, and we need a solution for the "." used for decimals under the Ir colum, and the "," used for decimals in the remaining ones.</t>
        </r>
      </text>
    </comment>
    <comment ref="H1" authorId="0" shapeId="0" xr:uid="{471A464A-4EEA-4FB2-8A6B-B17374E1FE71}">
      <text>
        <r>
          <rPr>
            <b/>
            <sz val="9"/>
            <color indexed="81"/>
            <rFont val="Tahoma"/>
            <charset val="1"/>
          </rPr>
          <t>39338:</t>
        </r>
        <r>
          <rPr>
            <sz val="9"/>
            <color indexed="81"/>
            <rFont val="Tahoma"/>
            <charset val="1"/>
          </rPr>
          <t xml:space="preserve">
I am manually adding this crucial column.
I am using the xlookout function with the helper erts table on the RHS. Format: ?EUR for 1 FC. Date: 22/05/2025.</t>
        </r>
      </text>
    </comment>
    <comment ref="I1" authorId="0" shapeId="0" xr:uid="{CC8C159B-14D2-4EF3-8D11-30859BA87BEE}">
      <text>
        <r>
          <rPr>
            <b/>
            <sz val="9"/>
            <color indexed="81"/>
            <rFont val="Tahoma"/>
            <charset val="1"/>
          </rPr>
          <t>39338:</t>
        </r>
        <r>
          <rPr>
            <sz val="9"/>
            <color indexed="81"/>
            <rFont val="Tahoma"/>
            <charset val="1"/>
          </rPr>
          <t xml:space="preserve">
I am manually adding this crucial column.
I am manually inserting a formula for convertion:
Acquisition Cost (in FC) * Exchange rate ?EUR/#1FC = Acquistion cost in EUR </t>
        </r>
      </text>
    </comment>
    <comment ref="O1" authorId="0" shapeId="0" xr:uid="{316F1184-6A96-4EED-A65E-37C48AAD1475}">
      <text>
        <r>
          <rPr>
            <b/>
            <sz val="9"/>
            <color indexed="81"/>
            <rFont val="Tahoma"/>
            <charset val="1"/>
          </rPr>
          <t>39338:</t>
        </r>
        <r>
          <rPr>
            <sz val="9"/>
            <color indexed="81"/>
            <rFont val="Tahoma"/>
            <charset val="1"/>
          </rPr>
          <t xml:space="preserve">
I am manually finding an reporting the er of each currency to EUR. Format: ?EUR for 1 FC. Date: 30/06/2023.</t>
        </r>
      </text>
    </comment>
    <comment ref="I7" authorId="0" shapeId="0" xr:uid="{05B2B169-4C33-43E6-85A9-B880664C485D}">
      <text>
        <r>
          <rPr>
            <b/>
            <sz val="9"/>
            <color indexed="81"/>
            <rFont val="Tahoma"/>
            <family val="2"/>
          </rPr>
          <t>39338:</t>
        </r>
        <r>
          <rPr>
            <sz val="9"/>
            <color indexed="81"/>
            <rFont val="Tahoma"/>
            <family val="2"/>
          </rPr>
          <t xml:space="preserve">
I have used "conditional" formatting for the subtotals and totals. </t>
        </r>
      </text>
    </comment>
    <comment ref="I221" authorId="0" shapeId="0" xr:uid="{A41D9124-658E-4576-B8AF-41320075103D}">
      <text>
        <r>
          <rPr>
            <b/>
            <sz val="9"/>
            <color indexed="81"/>
            <rFont val="Tahoma"/>
            <family val="2"/>
          </rPr>
          <t>39338:</t>
        </r>
        <r>
          <rPr>
            <sz val="9"/>
            <color indexed="81"/>
            <rFont val="Tahoma"/>
            <family val="2"/>
          </rPr>
          <t xml:space="preserve">
I have set in thi and column G the use of "." separators explicitly.</t>
        </r>
      </text>
    </comment>
  </commentList>
</comments>
</file>

<file path=xl/sharedStrings.xml><?xml version="1.0" encoding="utf-8"?>
<sst xmlns="http://schemas.openxmlformats.org/spreadsheetml/2006/main" count="1371" uniqueCount="590">
  <si>
    <t>Matched Company</t>
  </si>
  <si>
    <t>Nominal Value</t>
  </si>
  <si>
    <t>Company</t>
  </si>
  <si>
    <t>Interest Rate</t>
  </si>
  <si>
    <t>Maturity</t>
  </si>
  <si>
    <t>Currency</t>
  </si>
  <si>
    <t>Acquisition Cost</t>
  </si>
  <si>
    <t>Carrying Value</t>
  </si>
  <si>
    <t>Net Assets</t>
  </si>
  <si>
    <t>Siemens</t>
  </si>
  <si>
    <t>800000,00</t>
  </si>
  <si>
    <t>SIEMENSFINANCIERINGSMAATSCHAPPIJNV</t>
  </si>
  <si>
    <t>2.50%</t>
  </si>
  <si>
    <t>08/09/2027</t>
  </si>
  <si>
    <t>EUR</t>
  </si>
  <si>
    <t>772648,00</t>
  </si>
  <si>
    <t>0,34</t>
  </si>
  <si>
    <t>500000,00</t>
  </si>
  <si>
    <t>SIEMENSFINANCIERINGSMAATSCHAPPIJNV0.625%</t>
  </si>
  <si>
    <t>449550,00</t>
  </si>
  <si>
    <t>0,20</t>
  </si>
  <si>
    <t>300000,00</t>
  </si>
  <si>
    <t>SIEMENSENERGYFINANCEBV</t>
  </si>
  <si>
    <t>4.00%</t>
  </si>
  <si>
    <t>05/04/2026</t>
  </si>
  <si>
    <t>293430,00</t>
  </si>
  <si>
    <t>0,13</t>
  </si>
  <si>
    <t>100000,00</t>
  </si>
  <si>
    <t>SIEMENSFINANCIERINGSMAATSCHAPPIJNV0.375%</t>
  </si>
  <si>
    <t>91180,00</t>
  </si>
  <si>
    <t>0,04</t>
  </si>
  <si>
    <t>Booking Holdings</t>
  </si>
  <si>
    <t>1000000,00</t>
  </si>
  <si>
    <t>BOOKINGHOLDINGS,INC.</t>
  </si>
  <si>
    <t>1.80%</t>
  </si>
  <si>
    <t>03/03/2027</t>
  </si>
  <si>
    <t>927310,00</t>
  </si>
  <si>
    <t>0,41</t>
  </si>
  <si>
    <t>600000,00</t>
  </si>
  <si>
    <t>0.10%</t>
  </si>
  <si>
    <t>08/03/2025</t>
  </si>
  <si>
    <t>561366,00</t>
  </si>
  <si>
    <t>0,25</t>
  </si>
  <si>
    <t>15/11/2026</t>
  </si>
  <si>
    <t>100193,00</t>
  </si>
  <si>
    <t>0,05</t>
  </si>
  <si>
    <t>Heidelberg Materials</t>
  </si>
  <si>
    <t>200000,00</t>
  </si>
  <si>
    <t>HEIDELBERGMATERIALSAG</t>
  </si>
  <si>
    <t>1.50%</t>
  </si>
  <si>
    <t>07/02/2025</t>
  </si>
  <si>
    <t>191948,00</t>
  </si>
  <si>
    <t>0,08</t>
  </si>
  <si>
    <t>Carlsberg</t>
  </si>
  <si>
    <t>CARLSBERGBREWERIESAS</t>
  </si>
  <si>
    <t>0.375%</t>
  </si>
  <si>
    <t>30/06/2027</t>
  </si>
  <si>
    <t>261573,00</t>
  </si>
  <si>
    <t>0,11</t>
  </si>
  <si>
    <t>400000,00</t>
  </si>
  <si>
    <t>0.00%</t>
  </si>
  <si>
    <t>20/02/2026</t>
  </si>
  <si>
    <t>364756,00</t>
  </si>
  <si>
    <t>0,16</t>
  </si>
  <si>
    <t>Alstom</t>
  </si>
  <si>
    <t>15718,00</t>
  </si>
  <si>
    <t>ALSTOMSA</t>
  </si>
  <si>
    <t>429415,76</t>
  </si>
  <si>
    <t>0,23</t>
  </si>
  <si>
    <t>Carrefour</t>
  </si>
  <si>
    <t>28722,00</t>
  </si>
  <si>
    <t>CARREFOURSA</t>
  </si>
  <si>
    <t>498470,31</t>
  </si>
  <si>
    <t>0,27</t>
  </si>
  <si>
    <t>36962,00</t>
  </si>
  <si>
    <t>SIEMENSAG</t>
  </si>
  <si>
    <t>5638183,48</t>
  </si>
  <si>
    <t>3,04</t>
  </si>
  <si>
    <t>6998,00</t>
  </si>
  <si>
    <t>526249,60</t>
  </si>
  <si>
    <t>0,28</t>
  </si>
  <si>
    <t>15921,00</t>
  </si>
  <si>
    <t>SIEMENSENERGYAG</t>
  </si>
  <si>
    <t>257601,78</t>
  </si>
  <si>
    <t>0,14</t>
  </si>
  <si>
    <t>8572,00</t>
  </si>
  <si>
    <t>SIEMENSHEALTHINEERSAG</t>
  </si>
  <si>
    <t>444543,92</t>
  </si>
  <si>
    <t>0,24</t>
  </si>
  <si>
    <t>CNH Industrial</t>
  </si>
  <si>
    <t>49695,00</t>
  </si>
  <si>
    <t>CNHINDUSTRIALNV</t>
  </si>
  <si>
    <t>656222,48</t>
  </si>
  <si>
    <t>0,35</t>
  </si>
  <si>
    <t>24121,00</t>
  </si>
  <si>
    <t>658985,72</t>
  </si>
  <si>
    <t>45841,00</t>
  </si>
  <si>
    <t>795570,56</t>
  </si>
  <si>
    <t>60986,00</t>
  </si>
  <si>
    <t>9302804,44</t>
  </si>
  <si>
    <t>1,53</t>
  </si>
  <si>
    <t>7249,00</t>
  </si>
  <si>
    <t>545124,80</t>
  </si>
  <si>
    <t>0,09</t>
  </si>
  <si>
    <t>19948,00</t>
  </si>
  <si>
    <t>322758,64</t>
  </si>
  <si>
    <t>17072,00</t>
  </si>
  <si>
    <t>885353,92</t>
  </si>
  <si>
    <t>102371,00</t>
  </si>
  <si>
    <t>1351809,06</t>
  </si>
  <si>
    <t>0,22</t>
  </si>
  <si>
    <t>6764,00</t>
  </si>
  <si>
    <t>CARLSBERGAS</t>
  </si>
  <si>
    <t>DKK</t>
  </si>
  <si>
    <t>990629,54</t>
  </si>
  <si>
    <t>17967,00</t>
  </si>
  <si>
    <t>490858,44</t>
  </si>
  <si>
    <t>48696,00</t>
  </si>
  <si>
    <t>845119,08</t>
  </si>
  <si>
    <t>0,15</t>
  </si>
  <si>
    <t>46188,00</t>
  </si>
  <si>
    <t>7045517,52</t>
  </si>
  <si>
    <t>1,22</t>
  </si>
  <si>
    <t>7125,00</t>
  </si>
  <si>
    <t>535800,00</t>
  </si>
  <si>
    <t>29308,00</t>
  </si>
  <si>
    <t>474203,44</t>
  </si>
  <si>
    <t>17679,00</t>
  </si>
  <si>
    <t>916832,94</t>
  </si>
  <si>
    <t>69954,00</t>
  </si>
  <si>
    <t>923742,57</t>
  </si>
  <si>
    <t>6529,00</t>
  </si>
  <si>
    <t>956212,34</t>
  </si>
  <si>
    <t>0,17</t>
  </si>
  <si>
    <t>532,00</t>
  </si>
  <si>
    <t>USD</t>
  </si>
  <si>
    <t>1316750,79</t>
  </si>
  <si>
    <t>0,52</t>
  </si>
  <si>
    <t>Caterpillar</t>
  </si>
  <si>
    <t>7232,00</t>
  </si>
  <si>
    <t>CATERPILLAR,INC.</t>
  </si>
  <si>
    <t>1631011,04</t>
  </si>
  <si>
    <t>0,64</t>
  </si>
  <si>
    <t>Cisco Systems</t>
  </si>
  <si>
    <t>101756,00</t>
  </si>
  <si>
    <t>CISCOSYSTEMS,INC.</t>
  </si>
  <si>
    <t>4825713,85</t>
  </si>
  <si>
    <t>1037,00</t>
  </si>
  <si>
    <t>2566674,01</t>
  </si>
  <si>
    <t>Airbnb</t>
  </si>
  <si>
    <t>10261,00</t>
  </si>
  <si>
    <t>AIRBNB,INC.</t>
  </si>
  <si>
    <t>1205361,46</t>
  </si>
  <si>
    <t>Motorola Solutions</t>
  </si>
  <si>
    <t>3381,00</t>
  </si>
  <si>
    <t>MOTOROLASOLUTIONS,INC.</t>
  </si>
  <si>
    <t>908872,02</t>
  </si>
  <si>
    <t>0,10</t>
  </si>
  <si>
    <t>12176,00</t>
  </si>
  <si>
    <t>2746016,38</t>
  </si>
  <si>
    <t>0,29</t>
  </si>
  <si>
    <t>317301,00</t>
  </si>
  <si>
    <t>15047798,95</t>
  </si>
  <si>
    <t>0,72</t>
  </si>
  <si>
    <t>2093,00</t>
  </si>
  <si>
    <t>5180374,83</t>
  </si>
  <si>
    <t>14670,00</t>
  </si>
  <si>
    <t>3943552,95</t>
  </si>
  <si>
    <t>0,19</t>
  </si>
  <si>
    <t>20213,00</t>
  </si>
  <si>
    <t>2374424,64</t>
  </si>
  <si>
    <t>Expedia Group</t>
  </si>
  <si>
    <t>12156,00</t>
  </si>
  <si>
    <t>EXPEDIAGROUP,INC.</t>
  </si>
  <si>
    <t>1218830,82</t>
  </si>
  <si>
    <t>0,06</t>
  </si>
  <si>
    <t>22961,00</t>
  </si>
  <si>
    <t>5178324,75</t>
  </si>
  <si>
    <t>WSP Global</t>
  </si>
  <si>
    <t>5255,00</t>
  </si>
  <si>
    <t>WSPGLOBAL,INC.</t>
  </si>
  <si>
    <t>CAD</t>
  </si>
  <si>
    <t>637079,47</t>
  </si>
  <si>
    <t>0,03</t>
  </si>
  <si>
    <t>11075,00</t>
  </si>
  <si>
    <t>SIEMENSLTD.</t>
  </si>
  <si>
    <t>INR</t>
  </si>
  <si>
    <t>466063,68</t>
  </si>
  <si>
    <t>Hyundai Heavy Industries</t>
  </si>
  <si>
    <t>1398,00</t>
  </si>
  <si>
    <t>HDHYUNDAIHEAVYINDUSTRIESCO.LTD.</t>
  </si>
  <si>
    <t>KRW</t>
  </si>
  <si>
    <t>128076,07</t>
  </si>
  <si>
    <t>0,02</t>
  </si>
  <si>
    <t>IBM</t>
  </si>
  <si>
    <t>11255,00</t>
  </si>
  <si>
    <t>DRSULAIMANALHABIBMEDICALSERVICESGROUPCO.</t>
  </si>
  <si>
    <t>SAR</t>
  </si>
  <si>
    <t>803139,78</t>
  </si>
  <si>
    <t>Cemex</t>
  </si>
  <si>
    <t>2424715,00</t>
  </si>
  <si>
    <t>CEMEXSABDECV</t>
  </si>
  <si>
    <t>MXN</t>
  </si>
  <si>
    <t>1567994,01</t>
  </si>
  <si>
    <t>Orbia</t>
  </si>
  <si>
    <t>160693,00</t>
  </si>
  <si>
    <t>ORBIAADVANCECORP.SABDECV</t>
  </si>
  <si>
    <t>316727,81</t>
  </si>
  <si>
    <t>236,00</t>
  </si>
  <si>
    <t>CARLSBERGBREWERYMALAYSIABHD</t>
  </si>
  <si>
    <t>MYR</t>
  </si>
  <si>
    <t>943,58</t>
  </si>
  <si>
    <t>0,00</t>
  </si>
  <si>
    <t>428,00</t>
  </si>
  <si>
    <t>1059340,86</t>
  </si>
  <si>
    <t>6070,00</t>
  </si>
  <si>
    <t>1368948,71</t>
  </si>
  <si>
    <t>0,44</t>
  </si>
  <si>
    <t>9538,00</t>
  </si>
  <si>
    <t>165531,99</t>
  </si>
  <si>
    <t>9729,00</t>
  </si>
  <si>
    <t>128471,45</t>
  </si>
  <si>
    <t>1747,00</t>
  </si>
  <si>
    <t>131374,40</t>
  </si>
  <si>
    <t>Bank Leumi</t>
  </si>
  <si>
    <t>16978,00</t>
  </si>
  <si>
    <t>BANKLEUMILE-ISRAELBM</t>
  </si>
  <si>
    <t>ILS</t>
  </si>
  <si>
    <t>117711,52</t>
  </si>
  <si>
    <t>615000,00</t>
  </si>
  <si>
    <t>570572,40</t>
  </si>
  <si>
    <t>4.125%</t>
  </si>
  <si>
    <t>12/05/2033</t>
  </si>
  <si>
    <t>298671,00</t>
  </si>
  <si>
    <t>0,12</t>
  </si>
  <si>
    <t>4.75%</t>
  </si>
  <si>
    <t>15/11/2034</t>
  </si>
  <si>
    <t>522600,00</t>
  </si>
  <si>
    <t>0,21</t>
  </si>
  <si>
    <t>450000,00</t>
  </si>
  <si>
    <t>0.50%</t>
  </si>
  <si>
    <t>08/03/2028</t>
  </si>
  <si>
    <t>386442,00</t>
  </si>
  <si>
    <t>350000,00</t>
  </si>
  <si>
    <t>327547,50</t>
  </si>
  <si>
    <t>4.50%</t>
  </si>
  <si>
    <t>15/11/2031</t>
  </si>
  <si>
    <t>309099,00</t>
  </si>
  <si>
    <t>4.25%</t>
  </si>
  <si>
    <t>15/05/2029</t>
  </si>
  <si>
    <t>101414,00</t>
  </si>
  <si>
    <t>3.75%</t>
  </si>
  <si>
    <t>31/05/2032</t>
  </si>
  <si>
    <t>380656,00</t>
  </si>
  <si>
    <t>287946,00</t>
  </si>
  <si>
    <t>11/01/2029</t>
  </si>
  <si>
    <t>407005,00</t>
  </si>
  <si>
    <t>122074,00</t>
  </si>
  <si>
    <t>1611987,17</t>
  </si>
  <si>
    <t>2,96</t>
  </si>
  <si>
    <t>5741,00</t>
  </si>
  <si>
    <t>241595,63</t>
  </si>
  <si>
    <t>9574,00</t>
  </si>
  <si>
    <t>683186,16</t>
  </si>
  <si>
    <t>768261,00</t>
  </si>
  <si>
    <t>496812,47</t>
  </si>
  <si>
    <t>128233,00</t>
  </si>
  <si>
    <t>6081368,80</t>
  </si>
  <si>
    <t>0,53</t>
  </si>
  <si>
    <t>13116,00</t>
  </si>
  <si>
    <t>3525810,53</t>
  </si>
  <si>
    <t>0,31</t>
  </si>
  <si>
    <t>373,00</t>
  </si>
  <si>
    <t>923210,61</t>
  </si>
  <si>
    <t>5274,00</t>
  </si>
  <si>
    <t>619537,70</t>
  </si>
  <si>
    <t>33109,00</t>
  </si>
  <si>
    <t>7466972,43</t>
  </si>
  <si>
    <t>0,65</t>
  </si>
  <si>
    <t>5182,00</t>
  </si>
  <si>
    <t>628229,46</t>
  </si>
  <si>
    <t>8002,00</t>
  </si>
  <si>
    <t>1220625,08</t>
  </si>
  <si>
    <t>2600000,00</t>
  </si>
  <si>
    <t>CARREFOURBANQUESA</t>
  </si>
  <si>
    <t>4.079%</t>
  </si>
  <si>
    <t>05/05/2027</t>
  </si>
  <si>
    <t>2557490,00</t>
  </si>
  <si>
    <t>1300000,00</t>
  </si>
  <si>
    <t>0.107%</t>
  </si>
  <si>
    <t>14/06/2025</t>
  </si>
  <si>
    <t>1200108,00</t>
  </si>
  <si>
    <t>1.875%</t>
  </si>
  <si>
    <t>30/10/2026</t>
  </si>
  <si>
    <t>934820,00</t>
  </si>
  <si>
    <t>4300000,00</t>
  </si>
  <si>
    <t>2.25%</t>
  </si>
  <si>
    <t>10/03/2025</t>
  </si>
  <si>
    <t>4189103,00</t>
  </si>
  <si>
    <t>0,45</t>
  </si>
  <si>
    <t>2500000,00</t>
  </si>
  <si>
    <t>0.30%</t>
  </si>
  <si>
    <t>28/02/2024</t>
  </si>
  <si>
    <t>2445625,00</t>
  </si>
  <si>
    <t>3600000,00</t>
  </si>
  <si>
    <t>3369060,00</t>
  </si>
  <si>
    <t>0,37</t>
  </si>
  <si>
    <t>1002200,00</t>
  </si>
  <si>
    <t>2100000,00</t>
  </si>
  <si>
    <t>3.25%</t>
  </si>
  <si>
    <t>12/10/2025</t>
  </si>
  <si>
    <t>2064489,00</t>
  </si>
  <si>
    <t>1700000,00</t>
  </si>
  <si>
    <t>3.50%</t>
  </si>
  <si>
    <t>26/11/2026</t>
  </si>
  <si>
    <t>1682303,00</t>
  </si>
  <si>
    <t>0,18</t>
  </si>
  <si>
    <t>3200000,00</t>
  </si>
  <si>
    <t>CNHINDUSTRIALFINANCEEUROPESA</t>
  </si>
  <si>
    <t>01/04/2024</t>
  </si>
  <si>
    <t>3103424,00</t>
  </si>
  <si>
    <t>2400000,00</t>
  </si>
  <si>
    <t>0.25%</t>
  </si>
  <si>
    <t>14/10/2026</t>
  </si>
  <si>
    <t>2131776,00</t>
  </si>
  <si>
    <t>5900000,00</t>
  </si>
  <si>
    <t>2.625%</t>
  </si>
  <si>
    <t>15/12/2027</t>
  </si>
  <si>
    <t>5630724,00</t>
  </si>
  <si>
    <t>1800000,00</t>
  </si>
  <si>
    <t>12/10/2028</t>
  </si>
  <si>
    <t>1815156,00</t>
  </si>
  <si>
    <t>1.00%</t>
  </si>
  <si>
    <t>17/05/2027</t>
  </si>
  <si>
    <t>1617102,00</t>
  </si>
  <si>
    <t>4600000,00</t>
  </si>
  <si>
    <t>SIEMENSFINANCIERINGSMAATSCHAPPIJNV3.00%</t>
  </si>
  <si>
    <t>4462368,00</t>
  </si>
  <si>
    <t>SIEMENSFINANCIERINGSMAATSCHAPPIJNV3.50%</t>
  </si>
  <si>
    <t>2491100,00</t>
  </si>
  <si>
    <t>SIEMENSFINANCIERINGSMAATSCHAPPIJNV2.25%</t>
  </si>
  <si>
    <t>2338104,00</t>
  </si>
  <si>
    <t>2300000,00</t>
  </si>
  <si>
    <t>SIEMENSFINANCIERINGSMAATSCHAPPIJNV2.50%</t>
  </si>
  <si>
    <t>2222237,00</t>
  </si>
  <si>
    <t>SIEMENSFINANCIERINGSMAATSCHAPPIJNV2.75%</t>
  </si>
  <si>
    <t>2206505,00</t>
  </si>
  <si>
    <t>3.625%</t>
  </si>
  <si>
    <t>12/11/2028</t>
  </si>
  <si>
    <t>2274769,00</t>
  </si>
  <si>
    <t>1500000,00</t>
  </si>
  <si>
    <t>1567800,00</t>
  </si>
  <si>
    <t>3400000,00</t>
  </si>
  <si>
    <t>3384938,00</t>
  </si>
  <si>
    <t>3656000,00</t>
  </si>
  <si>
    <t>3479195,84</t>
  </si>
  <si>
    <t>983090,00</t>
  </si>
  <si>
    <t>4200000,00</t>
  </si>
  <si>
    <t>4073244,00</t>
  </si>
  <si>
    <t>2000000,00</t>
  </si>
  <si>
    <t>1956420,00</t>
  </si>
  <si>
    <t>1200000,00</t>
  </si>
  <si>
    <t>05/04/2029</t>
  </si>
  <si>
    <t>1169604,00</t>
  </si>
  <si>
    <t>487105,00</t>
  </si>
  <si>
    <t>0,47</t>
  </si>
  <si>
    <t>3.375%</t>
  </si>
  <si>
    <t>24/08/2031</t>
  </si>
  <si>
    <t>200030,00</t>
  </si>
  <si>
    <t>195642,00</t>
  </si>
  <si>
    <t>SIEMENSFINANCIERINGSMAATSCHAPPIJNV0.90%</t>
  </si>
  <si>
    <t>449580,00</t>
  </si>
  <si>
    <t>364764,00</t>
  </si>
  <si>
    <t>1850000,00</t>
  </si>
  <si>
    <t>1854070,00</t>
  </si>
  <si>
    <t>1.75%</t>
  </si>
  <si>
    <t>12/09/2025</t>
  </si>
  <si>
    <t>952770,00</t>
  </si>
  <si>
    <t>eDreams ODIGEO</t>
  </si>
  <si>
    <t>EDREAMSODIGEOSA</t>
  </si>
  <si>
    <t>5.50%</t>
  </si>
  <si>
    <t>15/07/2027</t>
  </si>
  <si>
    <t>455595,00</t>
  </si>
  <si>
    <t>0,38</t>
  </si>
  <si>
    <t>1400000,00</t>
  </si>
  <si>
    <t>1275666,00</t>
  </si>
  <si>
    <t>290000,00</t>
  </si>
  <si>
    <t>3829450,00</t>
  </si>
  <si>
    <t>2,07</t>
  </si>
  <si>
    <t>313489,00</t>
  </si>
  <si>
    <t>47819612,06</t>
  </si>
  <si>
    <t>133783,00</t>
  </si>
  <si>
    <t>19593345,85</t>
  </si>
  <si>
    <t>0,85</t>
  </si>
  <si>
    <t>37731,00</t>
  </si>
  <si>
    <t>1030810,92</t>
  </si>
  <si>
    <t>0,67</t>
  </si>
  <si>
    <t>189048,00</t>
  </si>
  <si>
    <t>3280928,04</t>
  </si>
  <si>
    <t>2,13</t>
  </si>
  <si>
    <t>49714,00</t>
  </si>
  <si>
    <t>804372,52</t>
  </si>
  <si>
    <t>66239,00</t>
  </si>
  <si>
    <t>874686,00</t>
  </si>
  <si>
    <t>0,57</t>
  </si>
  <si>
    <t>129343,00</t>
  </si>
  <si>
    <t>34769663,88</t>
  </si>
  <si>
    <t>0,81</t>
  </si>
  <si>
    <t>10047,00</t>
  </si>
  <si>
    <t>24867284,24</t>
  </si>
  <si>
    <t>0,58</t>
  </si>
  <si>
    <t>13202,00</t>
  </si>
  <si>
    <t>1600518,21</t>
  </si>
  <si>
    <t>Israel Discount Bank</t>
  </si>
  <si>
    <t>101952,00</t>
  </si>
  <si>
    <t>ISRAELDISCOUNTBANKLTD.</t>
  </si>
  <si>
    <t>466365,85</t>
  </si>
  <si>
    <t>0,07</t>
  </si>
  <si>
    <t>Bank Hapoalim</t>
  </si>
  <si>
    <t>3592,00</t>
  </si>
  <si>
    <t>BANKHAPOALIMBM</t>
  </si>
  <si>
    <t>27237,34</t>
  </si>
  <si>
    <t>20896,00</t>
  </si>
  <si>
    <t>4712611,56</t>
  </si>
  <si>
    <t>0,26</t>
  </si>
  <si>
    <t>181110,00</t>
  </si>
  <si>
    <t>8589027,04</t>
  </si>
  <si>
    <t>0,48</t>
  </si>
  <si>
    <t>10600,00</t>
  </si>
  <si>
    <t>1285069,92</t>
  </si>
  <si>
    <t>437503,00</t>
  </si>
  <si>
    <t>SIEMENSGAMESARENEWABLEENERGYSA</t>
  </si>
  <si>
    <t>7896929,15</t>
  </si>
  <si>
    <t>30014,00</t>
  </si>
  <si>
    <t>4578335,56</t>
  </si>
  <si>
    <t>180493,00</t>
  </si>
  <si>
    <t>21202544,19</t>
  </si>
  <si>
    <t>1,02</t>
  </si>
  <si>
    <t>440923,00</t>
  </si>
  <si>
    <t>20910494,00</t>
  </si>
  <si>
    <t>1,00</t>
  </si>
  <si>
    <t>205863,00</t>
  </si>
  <si>
    <t>31402342,02</t>
  </si>
  <si>
    <t>1,50</t>
  </si>
  <si>
    <t>462954,00</t>
  </si>
  <si>
    <t>8356319,70</t>
  </si>
  <si>
    <t>0,40</t>
  </si>
  <si>
    <t>88214,00</t>
  </si>
  <si>
    <t>10362513,97</t>
  </si>
  <si>
    <t>17490,00</t>
  </si>
  <si>
    <t>3944466,70</t>
  </si>
  <si>
    <t>0,32</t>
  </si>
  <si>
    <t>270635,00</t>
  </si>
  <si>
    <t>4696870,43</t>
  </si>
  <si>
    <t>490268,00</t>
  </si>
  <si>
    <t>6473988,94</t>
  </si>
  <si>
    <t>13072,00</t>
  </si>
  <si>
    <t>2948088,55</t>
  </si>
  <si>
    <t>210057,00</t>
  </si>
  <si>
    <t>9961820,18</t>
  </si>
  <si>
    <t>1,60</t>
  </si>
  <si>
    <t>19101,00</t>
  </si>
  <si>
    <t>2315671,74</t>
  </si>
  <si>
    <t>74359,00</t>
  </si>
  <si>
    <t>3526428,48</t>
  </si>
  <si>
    <t>1,81</t>
  </si>
  <si>
    <t>86606,00</t>
  </si>
  <si>
    <t>1503047,13</t>
  </si>
  <si>
    <t>0,77</t>
  </si>
  <si>
    <t>959820,00</t>
  </si>
  <si>
    <t>911190,00</t>
  </si>
  <si>
    <t>1302860,00</t>
  </si>
  <si>
    <t>2800000,00</t>
  </si>
  <si>
    <t>2687496,00</t>
  </si>
  <si>
    <t>0,79</t>
  </si>
  <si>
    <t>73,00</t>
  </si>
  <si>
    <t>180681,97</t>
  </si>
  <si>
    <t>858,00</t>
  </si>
  <si>
    <t>40690,11</t>
  </si>
  <si>
    <t>2685,00</t>
  </si>
  <si>
    <t>139244,10</t>
  </si>
  <si>
    <t>4447,00</t>
  </si>
  <si>
    <t>71952,46</t>
  </si>
  <si>
    <t>96982,00</t>
  </si>
  <si>
    <t>1750,00</t>
  </si>
  <si>
    <t>4331417,08</t>
  </si>
  <si>
    <t>181185,00</t>
  </si>
  <si>
    <t>3144465,68</t>
  </si>
  <si>
    <t>50000,00</t>
  </si>
  <si>
    <t>809000,00</t>
  </si>
  <si>
    <t>6600000,00</t>
  </si>
  <si>
    <t>6400812,00</t>
  </si>
  <si>
    <t>136000,00</t>
  </si>
  <si>
    <t>30671667,86</t>
  </si>
  <si>
    <t>641814,00</t>
  </si>
  <si>
    <t>30437622,43</t>
  </si>
  <si>
    <t>186872,00</t>
  </si>
  <si>
    <t>28505454,88</t>
  </si>
  <si>
    <t>208879,00</t>
  </si>
  <si>
    <t>30591618,43</t>
  </si>
  <si>
    <t>179678,00</t>
  </si>
  <si>
    <t>220000,00</t>
  </si>
  <si>
    <t>SIEMENSFINANCIERINGSMAATSCHAPPIJNV1.25%</t>
  </si>
  <si>
    <t>190040,40</t>
  </si>
  <si>
    <t>91191,00</t>
  </si>
  <si>
    <t>0,01</t>
  </si>
  <si>
    <t>199114,00</t>
  </si>
  <si>
    <t>197918,00</t>
  </si>
  <si>
    <t>6215,00</t>
  </si>
  <si>
    <t>1401650,12</t>
  </si>
  <si>
    <t>29329,00</t>
  </si>
  <si>
    <t>1390909,25</t>
  </si>
  <si>
    <t>8542,00</t>
  </si>
  <si>
    <t>1302996,68</t>
  </si>
  <si>
    <t>9545,00</t>
  </si>
  <si>
    <t>1397924,15</t>
  </si>
  <si>
    <t>2276057,00</t>
  </si>
  <si>
    <t>99557,00</t>
  </si>
  <si>
    <t>89839,00</t>
  </si>
  <si>
    <t>1.25%</t>
  </si>
  <si>
    <t>28/02/2031</t>
  </si>
  <si>
    <t>43191,00</t>
  </si>
  <si>
    <t>6000000,00</t>
  </si>
  <si>
    <t>5716620,00</t>
  </si>
  <si>
    <t>1,06</t>
  </si>
  <si>
    <t>05/06/2024</t>
  </si>
  <si>
    <t>1934200,00</t>
  </si>
  <si>
    <t>0,36</t>
  </si>
  <si>
    <t>10000000,00</t>
  </si>
  <si>
    <t>9698200,00</t>
  </si>
  <si>
    <t>1,80</t>
  </si>
  <si>
    <t>3239,00</t>
  </si>
  <si>
    <t>494077,06</t>
  </si>
  <si>
    <t>0,97</t>
  </si>
  <si>
    <t>3620,00</t>
  </si>
  <si>
    <t>530171,34</t>
  </si>
  <si>
    <t>1,04</t>
  </si>
  <si>
    <t>630000,00</t>
  </si>
  <si>
    <t>28/05/2024</t>
  </si>
  <si>
    <t>620896,50</t>
  </si>
  <si>
    <t>5790,00</t>
  </si>
  <si>
    <t>1305801,15</t>
  </si>
  <si>
    <t>27325,00</t>
  </si>
  <si>
    <t>1295870,82</t>
  </si>
  <si>
    <t>398228,00</t>
  </si>
  <si>
    <t>359356,00</t>
  </si>
  <si>
    <t>410000,00</t>
  </si>
  <si>
    <t>354166,20</t>
  </si>
  <si>
    <t>273573,00</t>
  </si>
  <si>
    <t>296877,00</t>
  </si>
  <si>
    <t>751,00</t>
  </si>
  <si>
    <t>1858796,70</t>
  </si>
  <si>
    <t>6779,00</t>
  </si>
  <si>
    <t>509780,80</t>
  </si>
  <si>
    <t>11112,00</t>
  </si>
  <si>
    <t>2506055,69</t>
  </si>
  <si>
    <t>52439,00</t>
  </si>
  <si>
    <t>2486886,36</t>
  </si>
  <si>
    <t>984,00</t>
  </si>
  <si>
    <t>2435493,95</t>
  </si>
  <si>
    <t>73661,00</t>
  </si>
  <si>
    <t>972693,51</t>
  </si>
  <si>
    <t>3987,00</t>
  </si>
  <si>
    <t>608176,98</t>
  </si>
  <si>
    <t>4462,00</t>
  </si>
  <si>
    <t>653487,43</t>
  </si>
  <si>
    <t>Acquistion Cost (EUR)</t>
  </si>
  <si>
    <t>Exchange rate ?EUR/1#FC</t>
  </si>
  <si>
    <t>Airbnb Total</t>
  </si>
  <si>
    <t>Alstom Total</t>
  </si>
  <si>
    <t>Bank Hapoalim Total</t>
  </si>
  <si>
    <t>Bank Leumi Total</t>
  </si>
  <si>
    <t>Booking Holdings Total</t>
  </si>
  <si>
    <t>Carlsberg Total</t>
  </si>
  <si>
    <t>Carrefour Total</t>
  </si>
  <si>
    <t>Caterpillar Total</t>
  </si>
  <si>
    <t>Cemex Total</t>
  </si>
  <si>
    <t>Cisco Systems Total</t>
  </si>
  <si>
    <t>CNH Industrial Total</t>
  </si>
  <si>
    <t>eDreams ODIGEO Total</t>
  </si>
  <si>
    <t>Expedia Group Total</t>
  </si>
  <si>
    <t>Heidelberg Materials Total</t>
  </si>
  <si>
    <t>Hyundai Heavy Industries Total</t>
  </si>
  <si>
    <t>IBM Total</t>
  </si>
  <si>
    <t>Israel Discount Bank Total</t>
  </si>
  <si>
    <t>Motorola Solutions Total</t>
  </si>
  <si>
    <t>Orbia Total</t>
  </si>
  <si>
    <t>Siemens Total</t>
  </si>
  <si>
    <t>WSP Global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</si>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</sst>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0" xfId="0" applyFont="1"/>
    <xf numFmtId="0" fontId="1" fillId="0" borderId="2" xfId="0" applyFont="1" applyBorder="1" applyAlignment="1">
      <alignment horizontal="center" vertical="top"/>
    </xf>
    <xf numFmtId="4" fontId="4" fillId="0" borderId="1" xfId="0" applyNumberFormat="1" applyFont="1" applyBorder="1" applyAlignment="1">
      <alignment horizontal="center" vertical="top"/>
    </xf>
    <xf numFmtId="4" fontId="0" fillId="0" borderId="0" xfId="0" applyNumberForma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tabSelected="1" zoomScale="70" zoomScaleNormal="70" workbookViewId="0">
      <selection sqref="A1:I1 A7:I7 A14:I14 A16:I16 A18:I18 A50:I50 A67:I67 A85:I85 A98:I98 A101:I101 A114:I114 A131:I131 A135:I135 A137:I137 A149:I149 A151:I151 A154:I154 A156:I156 A161:I161 A163:I163 A214:I214 A220:I221"/>
    </sheetView>
  </sheetViews>
  <sheetFormatPr defaultRowHeight="14.5" outlineLevelRow="2" x14ac:dyDescent="0.35"/>
  <cols>
    <col min="1" max="1" width="23.36328125" customWidth="1"/>
    <col min="2" max="2" width="20.7265625" customWidth="1"/>
    <col min="3" max="3" width="42.81640625" customWidth="1"/>
    <col min="4" max="4" width="20.36328125" customWidth="1"/>
    <col min="5" max="5" width="18.26953125" customWidth="1"/>
    <col min="6" max="6" width="11.90625" customWidth="1"/>
    <col min="7" max="7" width="23.1796875" style="5" customWidth="1"/>
    <col min="8" max="8" width="26" customWidth="1"/>
    <col min="9" max="9" width="23.1796875" style="5" customWidth="1"/>
    <col min="10" max="10" width="24.453125" customWidth="1"/>
    <col min="11" max="11" width="19.90625" customWidth="1"/>
    <col min="14" max="14" width="11.90625" customWidth="1"/>
    <col min="15" max="15" width="26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6" t="s">
        <v>567</v>
      </c>
      <c r="I1" s="4" t="s">
        <v>566</v>
      </c>
      <c r="J1" s="3" t="s">
        <v>7</v>
      </c>
      <c r="K1" s="1" t="s">
        <v>8</v>
      </c>
      <c r="N1" s="1" t="s">
        <v>5</v>
      </c>
      <c r="O1" s="1" t="s">
        <v>567</v>
      </c>
    </row>
    <row r="2" spans="1:15" hidden="1" outlineLevel="2" x14ac:dyDescent="0.35">
      <c r="A2" t="s">
        <v>149</v>
      </c>
      <c r="B2" t="s">
        <v>150</v>
      </c>
      <c r="C2" t="s">
        <v>151</v>
      </c>
      <c r="F2" t="s">
        <v>135</v>
      </c>
      <c r="G2" s="5">
        <v>1234992.92</v>
      </c>
      <c r="H2">
        <f>_xlfn.XLOOKUP(F2, $N$2:$N$12, $O$2:$O$12)</f>
        <v>0.88331419485911133</v>
      </c>
      <c r="I2" s="5">
        <f>G2*H2</f>
        <v>1090886.7767865029</v>
      </c>
      <c r="J2" t="s">
        <v>152</v>
      </c>
      <c r="K2" t="s">
        <v>26</v>
      </c>
      <c r="N2" t="s">
        <v>135</v>
      </c>
      <c r="O2">
        <f>1/1.1321</f>
        <v>0.88331419485911133</v>
      </c>
    </row>
    <row r="3" spans="1:15" hidden="1" outlineLevel="2" x14ac:dyDescent="0.35">
      <c r="A3" t="s">
        <v>149</v>
      </c>
      <c r="B3" t="s">
        <v>169</v>
      </c>
      <c r="C3" t="s">
        <v>151</v>
      </c>
      <c r="F3" t="s">
        <v>135</v>
      </c>
      <c r="G3" s="5">
        <v>2112018.08</v>
      </c>
      <c r="H3">
        <f t="shared" ref="H3:H72" si="0">_xlfn.XLOOKUP(F3, $N$2:$N$12, $O$2:$O$12)</f>
        <v>0.88331419485911133</v>
      </c>
      <c r="I3" s="5">
        <f t="shared" ref="I3:I72" si="1">G3*H3</f>
        <v>1865575.5498630863</v>
      </c>
      <c r="J3" t="s">
        <v>170</v>
      </c>
      <c r="K3" t="s">
        <v>58</v>
      </c>
      <c r="N3" t="s">
        <v>14</v>
      </c>
      <c r="O3">
        <f>1/1</f>
        <v>1</v>
      </c>
    </row>
    <row r="4" spans="1:15" hidden="1" outlineLevel="2" x14ac:dyDescent="0.35">
      <c r="A4" t="s">
        <v>149</v>
      </c>
      <c r="B4" t="s">
        <v>274</v>
      </c>
      <c r="C4" t="s">
        <v>151</v>
      </c>
      <c r="F4" t="s">
        <v>135</v>
      </c>
      <c r="G4" s="5">
        <v>529887.78</v>
      </c>
      <c r="H4">
        <f t="shared" si="0"/>
        <v>0.88331419485911133</v>
      </c>
      <c r="I4" s="5">
        <f t="shared" si="1"/>
        <v>468057.39775638195</v>
      </c>
      <c r="J4" t="s">
        <v>275</v>
      </c>
      <c r="K4" t="s">
        <v>45</v>
      </c>
      <c r="N4" t="s">
        <v>227</v>
      </c>
      <c r="O4">
        <f>1/4.022</f>
        <v>0.24863252113376427</v>
      </c>
    </row>
    <row r="5" spans="1:15" hidden="1" outlineLevel="2" x14ac:dyDescent="0.35">
      <c r="A5" t="s">
        <v>149</v>
      </c>
      <c r="B5" t="s">
        <v>435</v>
      </c>
      <c r="C5" t="s">
        <v>151</v>
      </c>
      <c r="F5" t="s">
        <v>135</v>
      </c>
      <c r="G5" s="5">
        <v>20648881.75</v>
      </c>
      <c r="H5">
        <f t="shared" si="0"/>
        <v>0.88331419485911133</v>
      </c>
      <c r="I5" s="5">
        <f t="shared" si="1"/>
        <v>18239450.357742246</v>
      </c>
      <c r="J5" t="s">
        <v>436</v>
      </c>
      <c r="K5" t="s">
        <v>437</v>
      </c>
      <c r="N5" t="s">
        <v>113</v>
      </c>
      <c r="O5">
        <f>1/7.4592</f>
        <v>0.13406263406263405</v>
      </c>
    </row>
    <row r="6" spans="1:15" hidden="1" outlineLevel="2" x14ac:dyDescent="0.35">
      <c r="A6" s="2" t="s">
        <v>149</v>
      </c>
      <c r="B6" t="s">
        <v>447</v>
      </c>
      <c r="C6" t="s">
        <v>151</v>
      </c>
      <c r="F6" t="s">
        <v>135</v>
      </c>
      <c r="G6" s="5">
        <v>9600825.5700000003</v>
      </c>
      <c r="H6">
        <f t="shared" si="0"/>
        <v>0.88331419485911133</v>
      </c>
      <c r="I6" s="5">
        <f t="shared" si="1"/>
        <v>8480545.5083473194</v>
      </c>
      <c r="J6" t="s">
        <v>448</v>
      </c>
      <c r="K6" t="s">
        <v>393</v>
      </c>
      <c r="N6" t="s">
        <v>210</v>
      </c>
      <c r="O6">
        <f>1/4.8341</f>
        <v>0.20686373885521606</v>
      </c>
    </row>
    <row r="7" spans="1:15" outlineLevel="1" collapsed="1" x14ac:dyDescent="0.35">
      <c r="A7" s="2" t="s">
        <v>568</v>
      </c>
      <c r="I7" s="5">
        <f>SUBTOTAL(9,I2:I6)</f>
        <v>30144515.590495534</v>
      </c>
    </row>
    <row r="8" spans="1:15" hidden="1" outlineLevel="2" x14ac:dyDescent="0.35">
      <c r="A8" t="s">
        <v>64</v>
      </c>
      <c r="B8" t="s">
        <v>65</v>
      </c>
      <c r="C8" t="s">
        <v>66</v>
      </c>
      <c r="F8" t="s">
        <v>14</v>
      </c>
      <c r="G8" s="5">
        <v>405923.1</v>
      </c>
      <c r="H8">
        <f t="shared" si="0"/>
        <v>1</v>
      </c>
      <c r="I8" s="5">
        <f t="shared" si="1"/>
        <v>405923.1</v>
      </c>
      <c r="J8" t="s">
        <v>67</v>
      </c>
      <c r="K8" t="s">
        <v>68</v>
      </c>
      <c r="N8" t="s">
        <v>202</v>
      </c>
      <c r="O8">
        <f>1/21.8591</f>
        <v>4.5747537638786591E-2</v>
      </c>
    </row>
    <row r="9" spans="1:15" hidden="1" outlineLevel="2" x14ac:dyDescent="0.35">
      <c r="A9" t="s">
        <v>64</v>
      </c>
      <c r="B9" t="s">
        <v>94</v>
      </c>
      <c r="C9" t="s">
        <v>66</v>
      </c>
      <c r="F9" t="s">
        <v>14</v>
      </c>
      <c r="G9" s="5">
        <v>667936.14</v>
      </c>
      <c r="H9">
        <f t="shared" si="0"/>
        <v>1</v>
      </c>
      <c r="I9" s="5">
        <f t="shared" si="1"/>
        <v>667936.14</v>
      </c>
      <c r="J9" t="s">
        <v>95</v>
      </c>
      <c r="K9" t="s">
        <v>58</v>
      </c>
      <c r="N9" t="s">
        <v>191</v>
      </c>
      <c r="O9">
        <f>1/1556.99</f>
        <v>6.4226488288299862E-4</v>
      </c>
    </row>
    <row r="10" spans="1:15" hidden="1" outlineLevel="2" x14ac:dyDescent="0.35">
      <c r="A10" t="s">
        <v>64</v>
      </c>
      <c r="B10" t="s">
        <v>115</v>
      </c>
      <c r="C10" t="s">
        <v>66</v>
      </c>
      <c r="F10" t="s">
        <v>14</v>
      </c>
      <c r="G10" s="5">
        <v>507840.07</v>
      </c>
      <c r="H10">
        <f t="shared" si="0"/>
        <v>1</v>
      </c>
      <c r="I10" s="5">
        <f t="shared" si="1"/>
        <v>507840.07</v>
      </c>
      <c r="J10" t="s">
        <v>116</v>
      </c>
      <c r="K10" t="s">
        <v>103</v>
      </c>
      <c r="N10" t="s">
        <v>197</v>
      </c>
      <c r="O10">
        <f>1/4.264875</f>
        <v>0.23447346053518567</v>
      </c>
    </row>
    <row r="11" spans="1:15" hidden="1" outlineLevel="2" x14ac:dyDescent="0.35">
      <c r="A11" t="s">
        <v>64</v>
      </c>
      <c r="B11" t="s">
        <v>17</v>
      </c>
      <c r="C11" t="s">
        <v>66</v>
      </c>
      <c r="D11" t="s">
        <v>60</v>
      </c>
      <c r="E11" t="s">
        <v>255</v>
      </c>
      <c r="F11" t="s">
        <v>14</v>
      </c>
      <c r="G11" s="5">
        <v>397318.6</v>
      </c>
      <c r="H11">
        <f t="shared" si="0"/>
        <v>1</v>
      </c>
      <c r="I11" s="5">
        <f t="shared" si="1"/>
        <v>397318.6</v>
      </c>
      <c r="J11" t="s">
        <v>256</v>
      </c>
      <c r="K11" t="s">
        <v>133</v>
      </c>
      <c r="N11" t="s">
        <v>186</v>
      </c>
      <c r="O11">
        <f>1/96.8675</f>
        <v>1.0323379874570934E-2</v>
      </c>
    </row>
    <row r="12" spans="1:15" hidden="1" outlineLevel="2" x14ac:dyDescent="0.35">
      <c r="A12" t="s">
        <v>64</v>
      </c>
      <c r="B12" t="s">
        <v>321</v>
      </c>
      <c r="C12" t="s">
        <v>66</v>
      </c>
      <c r="D12" t="s">
        <v>322</v>
      </c>
      <c r="E12" t="s">
        <v>323</v>
      </c>
      <c r="F12" t="s">
        <v>14</v>
      </c>
      <c r="G12" s="5">
        <v>2390208</v>
      </c>
      <c r="H12">
        <f t="shared" si="0"/>
        <v>1</v>
      </c>
      <c r="I12" s="5">
        <f t="shared" si="1"/>
        <v>2390208</v>
      </c>
      <c r="J12" t="s">
        <v>324</v>
      </c>
      <c r="K12" t="s">
        <v>157</v>
      </c>
      <c r="N12" t="s">
        <v>181</v>
      </c>
      <c r="O12">
        <f>1/1.5721</f>
        <v>0.63609185166338023</v>
      </c>
    </row>
    <row r="13" spans="1:15" hidden="1" outlineLevel="2" x14ac:dyDescent="0.35">
      <c r="A13" t="s">
        <v>64</v>
      </c>
      <c r="B13" t="s">
        <v>394</v>
      </c>
      <c r="C13" t="s">
        <v>66</v>
      </c>
      <c r="F13" t="s">
        <v>14</v>
      </c>
      <c r="G13" s="5">
        <v>986778.66</v>
      </c>
      <c r="H13">
        <f t="shared" si="0"/>
        <v>1</v>
      </c>
      <c r="I13" s="5">
        <f t="shared" si="1"/>
        <v>986778.66</v>
      </c>
      <c r="J13" t="s">
        <v>395</v>
      </c>
      <c r="K13" t="s">
        <v>396</v>
      </c>
    </row>
    <row r="14" spans="1:15" outlineLevel="1" collapsed="1" x14ac:dyDescent="0.35">
      <c r="A14" s="2" t="s">
        <v>569</v>
      </c>
      <c r="I14" s="5">
        <f>SUBTOTAL(9,I8:I13)</f>
        <v>5356004.57</v>
      </c>
    </row>
    <row r="15" spans="1:15" hidden="1" outlineLevel="2" x14ac:dyDescent="0.35">
      <c r="A15" t="s">
        <v>418</v>
      </c>
      <c r="B15" t="s">
        <v>419</v>
      </c>
      <c r="C15" t="s">
        <v>420</v>
      </c>
      <c r="F15" t="s">
        <v>227</v>
      </c>
      <c r="G15" s="5">
        <v>29203.64</v>
      </c>
      <c r="H15">
        <f t="shared" si="0"/>
        <v>0.24863252113376427</v>
      </c>
      <c r="I15" s="5">
        <f t="shared" si="1"/>
        <v>7260.9746394828435</v>
      </c>
      <c r="J15" t="s">
        <v>421</v>
      </c>
      <c r="K15" t="s">
        <v>212</v>
      </c>
    </row>
    <row r="16" spans="1:15" outlineLevel="1" collapsed="1" x14ac:dyDescent="0.35">
      <c r="A16" s="2" t="s">
        <v>570</v>
      </c>
      <c r="I16" s="5">
        <f>SUBTOTAL(9,I15:I15)</f>
        <v>7260.9746394828435</v>
      </c>
    </row>
    <row r="17" spans="1:11" hidden="1" outlineLevel="2" x14ac:dyDescent="0.35">
      <c r="A17" t="s">
        <v>224</v>
      </c>
      <c r="B17" t="s">
        <v>225</v>
      </c>
      <c r="C17" t="s">
        <v>226</v>
      </c>
      <c r="F17" t="s">
        <v>227</v>
      </c>
      <c r="G17" s="5">
        <v>137869.26</v>
      </c>
      <c r="H17">
        <f t="shared" si="0"/>
        <v>0.24863252113376427</v>
      </c>
      <c r="I17" s="5">
        <f t="shared" si="1"/>
        <v>34278.781700646447</v>
      </c>
      <c r="J17" t="s">
        <v>228</v>
      </c>
      <c r="K17" t="s">
        <v>30</v>
      </c>
    </row>
    <row r="18" spans="1:11" outlineLevel="1" collapsed="1" x14ac:dyDescent="0.35">
      <c r="A18" s="2" t="s">
        <v>571</v>
      </c>
      <c r="I18" s="5">
        <f>SUBTOTAL(9,I17:I17)</f>
        <v>34278.781700646447</v>
      </c>
    </row>
    <row r="19" spans="1:11" hidden="1" outlineLevel="2" x14ac:dyDescent="0.3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14</v>
      </c>
      <c r="G19" s="5">
        <v>934839.13</v>
      </c>
      <c r="H19">
        <f t="shared" si="0"/>
        <v>1</v>
      </c>
      <c r="I19" s="5">
        <f t="shared" si="1"/>
        <v>934839.13</v>
      </c>
      <c r="J19" t="s">
        <v>36</v>
      </c>
      <c r="K19" t="s">
        <v>37</v>
      </c>
    </row>
    <row r="20" spans="1:11" hidden="1" outlineLevel="2" x14ac:dyDescent="0.35">
      <c r="A20" t="s">
        <v>31</v>
      </c>
      <c r="B20" t="s">
        <v>38</v>
      </c>
      <c r="C20" t="s">
        <v>33</v>
      </c>
      <c r="D20" t="s">
        <v>39</v>
      </c>
      <c r="E20" t="s">
        <v>40</v>
      </c>
      <c r="F20" t="s">
        <v>14</v>
      </c>
      <c r="G20" s="5">
        <v>560268.03</v>
      </c>
      <c r="H20">
        <f t="shared" si="0"/>
        <v>1</v>
      </c>
      <c r="I20" s="5">
        <f t="shared" si="1"/>
        <v>560268.03</v>
      </c>
      <c r="J20" t="s">
        <v>41</v>
      </c>
      <c r="K20" t="s">
        <v>42</v>
      </c>
    </row>
    <row r="21" spans="1:11" hidden="1" outlineLevel="2" x14ac:dyDescent="0.35">
      <c r="A21" t="s">
        <v>31</v>
      </c>
      <c r="B21" t="s">
        <v>27</v>
      </c>
      <c r="C21" t="s">
        <v>33</v>
      </c>
      <c r="D21" t="s">
        <v>23</v>
      </c>
      <c r="E21" t="s">
        <v>43</v>
      </c>
      <c r="F21" t="s">
        <v>14</v>
      </c>
      <c r="G21" s="5">
        <v>101411.61</v>
      </c>
      <c r="H21">
        <f t="shared" si="0"/>
        <v>1</v>
      </c>
      <c r="I21" s="5">
        <f t="shared" si="1"/>
        <v>101411.61</v>
      </c>
      <c r="J21" t="s">
        <v>44</v>
      </c>
      <c r="K21" t="s">
        <v>45</v>
      </c>
    </row>
    <row r="22" spans="1:11" hidden="1" outlineLevel="2" x14ac:dyDescent="0.35">
      <c r="A22" t="s">
        <v>31</v>
      </c>
      <c r="B22" t="s">
        <v>134</v>
      </c>
      <c r="C22" t="s">
        <v>33</v>
      </c>
      <c r="F22" t="s">
        <v>135</v>
      </c>
      <c r="G22" s="5">
        <v>1253931.45</v>
      </c>
      <c r="H22">
        <f t="shared" si="0"/>
        <v>0.88331419485911133</v>
      </c>
      <c r="I22" s="5">
        <f t="shared" si="1"/>
        <v>1107615.4491652679</v>
      </c>
      <c r="J22" t="s">
        <v>136</v>
      </c>
      <c r="K22" t="s">
        <v>137</v>
      </c>
    </row>
    <row r="23" spans="1:11" hidden="1" outlineLevel="2" x14ac:dyDescent="0.35">
      <c r="A23" t="s">
        <v>31</v>
      </c>
      <c r="B23" t="s">
        <v>147</v>
      </c>
      <c r="C23" t="s">
        <v>33</v>
      </c>
      <c r="F23" t="s">
        <v>135</v>
      </c>
      <c r="G23" s="5">
        <v>1961778.23</v>
      </c>
      <c r="H23">
        <f t="shared" si="0"/>
        <v>0.88331419485911133</v>
      </c>
      <c r="I23" s="5">
        <f t="shared" si="1"/>
        <v>1732866.5577245825</v>
      </c>
      <c r="J23" t="s">
        <v>148</v>
      </c>
      <c r="K23" t="s">
        <v>80</v>
      </c>
    </row>
    <row r="24" spans="1:11" hidden="1" outlineLevel="2" x14ac:dyDescent="0.35">
      <c r="A24" t="s">
        <v>31</v>
      </c>
      <c r="B24" t="s">
        <v>164</v>
      </c>
      <c r="C24" t="s">
        <v>33</v>
      </c>
      <c r="F24" t="s">
        <v>135</v>
      </c>
      <c r="G24" s="5">
        <v>4555794.0999999996</v>
      </c>
      <c r="H24">
        <f t="shared" si="0"/>
        <v>0.88331419485911133</v>
      </c>
      <c r="I24" s="5">
        <f t="shared" si="1"/>
        <v>4024197.5973853893</v>
      </c>
      <c r="J24" t="s">
        <v>165</v>
      </c>
      <c r="K24" t="s">
        <v>42</v>
      </c>
    </row>
    <row r="25" spans="1:11" hidden="1" outlineLevel="2" x14ac:dyDescent="0.35">
      <c r="A25" t="s">
        <v>31</v>
      </c>
      <c r="B25" t="s">
        <v>213</v>
      </c>
      <c r="C25" t="s">
        <v>33</v>
      </c>
      <c r="F25" t="s">
        <v>135</v>
      </c>
      <c r="G25" s="5">
        <v>1007732.65</v>
      </c>
      <c r="H25">
        <f t="shared" si="0"/>
        <v>0.88331419485911133</v>
      </c>
      <c r="I25" s="5">
        <f t="shared" si="1"/>
        <v>890144.55436798872</v>
      </c>
      <c r="J25" t="s">
        <v>214</v>
      </c>
      <c r="K25" t="s">
        <v>16</v>
      </c>
    </row>
    <row r="26" spans="1:11" hidden="1" outlineLevel="2" x14ac:dyDescent="0.35">
      <c r="A26" t="s">
        <v>31</v>
      </c>
      <c r="B26" t="s">
        <v>229</v>
      </c>
      <c r="C26" t="s">
        <v>33</v>
      </c>
      <c r="D26" t="s">
        <v>34</v>
      </c>
      <c r="E26" t="s">
        <v>35</v>
      </c>
      <c r="F26" t="s">
        <v>14</v>
      </c>
      <c r="G26" s="5">
        <v>657684.07999999996</v>
      </c>
      <c r="H26">
        <f t="shared" si="0"/>
        <v>1</v>
      </c>
      <c r="I26" s="5">
        <f t="shared" si="1"/>
        <v>657684.07999999996</v>
      </c>
      <c r="J26" t="s">
        <v>230</v>
      </c>
      <c r="K26" t="s">
        <v>68</v>
      </c>
    </row>
    <row r="27" spans="1:11" hidden="1" outlineLevel="2" x14ac:dyDescent="0.35">
      <c r="A27" t="s">
        <v>31</v>
      </c>
      <c r="B27" t="s">
        <v>21</v>
      </c>
      <c r="C27" t="s">
        <v>33</v>
      </c>
      <c r="D27" t="s">
        <v>231</v>
      </c>
      <c r="E27" t="s">
        <v>232</v>
      </c>
      <c r="F27" t="s">
        <v>14</v>
      </c>
      <c r="G27" s="5">
        <v>299798.99</v>
      </c>
      <c r="H27">
        <f t="shared" si="0"/>
        <v>1</v>
      </c>
      <c r="I27" s="5">
        <f t="shared" si="1"/>
        <v>299798.99</v>
      </c>
      <c r="J27" t="s">
        <v>233</v>
      </c>
      <c r="K27" t="s">
        <v>234</v>
      </c>
    </row>
    <row r="28" spans="1:11" hidden="1" outlineLevel="2" x14ac:dyDescent="0.35">
      <c r="A28" t="s">
        <v>31</v>
      </c>
      <c r="B28" t="s">
        <v>17</v>
      </c>
      <c r="C28" t="s">
        <v>33</v>
      </c>
      <c r="D28" t="s">
        <v>235</v>
      </c>
      <c r="E28" t="s">
        <v>236</v>
      </c>
      <c r="F28" t="s">
        <v>14</v>
      </c>
      <c r="G28" s="5">
        <v>535400.54</v>
      </c>
      <c r="H28">
        <f t="shared" si="0"/>
        <v>1</v>
      </c>
      <c r="I28" s="5">
        <f t="shared" si="1"/>
        <v>535400.54</v>
      </c>
      <c r="J28" t="s">
        <v>237</v>
      </c>
      <c r="K28" t="s">
        <v>238</v>
      </c>
    </row>
    <row r="29" spans="1:11" hidden="1" outlineLevel="2" x14ac:dyDescent="0.35">
      <c r="A29" t="s">
        <v>31</v>
      </c>
      <c r="B29" t="s">
        <v>239</v>
      </c>
      <c r="C29" t="s">
        <v>33</v>
      </c>
      <c r="D29" t="s">
        <v>240</v>
      </c>
      <c r="E29" t="s">
        <v>241</v>
      </c>
      <c r="F29" t="s">
        <v>14</v>
      </c>
      <c r="G29" s="5">
        <v>420540.06</v>
      </c>
      <c r="H29">
        <f t="shared" si="0"/>
        <v>1</v>
      </c>
      <c r="I29" s="5">
        <f t="shared" si="1"/>
        <v>420540.06</v>
      </c>
      <c r="J29" t="s">
        <v>242</v>
      </c>
      <c r="K29" t="s">
        <v>63</v>
      </c>
    </row>
    <row r="30" spans="1:11" hidden="1" outlineLevel="2" x14ac:dyDescent="0.35">
      <c r="A30" t="s">
        <v>31</v>
      </c>
      <c r="B30" t="s">
        <v>243</v>
      </c>
      <c r="C30" t="s">
        <v>33</v>
      </c>
      <c r="D30" t="s">
        <v>39</v>
      </c>
      <c r="E30" t="s">
        <v>40</v>
      </c>
      <c r="F30" t="s">
        <v>14</v>
      </c>
      <c r="G30" s="5">
        <v>350708.81</v>
      </c>
      <c r="H30">
        <f t="shared" si="0"/>
        <v>1</v>
      </c>
      <c r="I30" s="5">
        <f t="shared" si="1"/>
        <v>350708.81</v>
      </c>
      <c r="J30" t="s">
        <v>244</v>
      </c>
      <c r="K30" t="s">
        <v>26</v>
      </c>
    </row>
    <row r="31" spans="1:11" hidden="1" outlineLevel="2" x14ac:dyDescent="0.35">
      <c r="A31" t="s">
        <v>31</v>
      </c>
      <c r="B31" t="s">
        <v>21</v>
      </c>
      <c r="C31" t="s">
        <v>33</v>
      </c>
      <c r="D31" t="s">
        <v>245</v>
      </c>
      <c r="E31" t="s">
        <v>246</v>
      </c>
      <c r="F31" t="s">
        <v>14</v>
      </c>
      <c r="G31" s="5">
        <v>314419.45</v>
      </c>
      <c r="H31">
        <f t="shared" si="0"/>
        <v>1</v>
      </c>
      <c r="I31" s="5">
        <f t="shared" si="1"/>
        <v>314419.45</v>
      </c>
      <c r="J31" t="s">
        <v>247</v>
      </c>
      <c r="K31" t="s">
        <v>26</v>
      </c>
    </row>
    <row r="32" spans="1:11" hidden="1" outlineLevel="2" x14ac:dyDescent="0.35">
      <c r="A32" t="s">
        <v>31</v>
      </c>
      <c r="B32" t="s">
        <v>27</v>
      </c>
      <c r="C32" t="s">
        <v>33</v>
      </c>
      <c r="D32" t="s">
        <v>248</v>
      </c>
      <c r="E32" t="s">
        <v>249</v>
      </c>
      <c r="F32" t="s">
        <v>14</v>
      </c>
      <c r="G32" s="5">
        <v>103070.31</v>
      </c>
      <c r="H32">
        <f t="shared" si="0"/>
        <v>1</v>
      </c>
      <c r="I32" s="5">
        <f t="shared" si="1"/>
        <v>103070.31</v>
      </c>
      <c r="J32" t="s">
        <v>250</v>
      </c>
      <c r="K32" t="s">
        <v>30</v>
      </c>
    </row>
    <row r="33" spans="1:11" hidden="1" outlineLevel="2" x14ac:dyDescent="0.35">
      <c r="A33" t="s">
        <v>31</v>
      </c>
      <c r="B33" t="s">
        <v>272</v>
      </c>
      <c r="C33" t="s">
        <v>33</v>
      </c>
      <c r="F33" t="s">
        <v>135</v>
      </c>
      <c r="G33" s="5">
        <v>833878.73</v>
      </c>
      <c r="H33">
        <f t="shared" si="0"/>
        <v>0.88331419485911133</v>
      </c>
      <c r="I33" s="5">
        <f t="shared" si="1"/>
        <v>736576.91900008824</v>
      </c>
      <c r="J33" t="s">
        <v>273</v>
      </c>
      <c r="K33" t="s">
        <v>52</v>
      </c>
    </row>
    <row r="34" spans="1:11" hidden="1" outlineLevel="2" x14ac:dyDescent="0.35">
      <c r="A34" t="s">
        <v>31</v>
      </c>
      <c r="B34" t="s">
        <v>304</v>
      </c>
      <c r="C34" t="s">
        <v>33</v>
      </c>
      <c r="D34" t="s">
        <v>39</v>
      </c>
      <c r="E34" t="s">
        <v>40</v>
      </c>
      <c r="F34" t="s">
        <v>14</v>
      </c>
      <c r="G34" s="5">
        <v>3492393</v>
      </c>
      <c r="H34">
        <f t="shared" si="0"/>
        <v>1</v>
      </c>
      <c r="I34" s="5">
        <f t="shared" si="1"/>
        <v>3492393</v>
      </c>
      <c r="J34" t="s">
        <v>305</v>
      </c>
      <c r="K34" t="s">
        <v>306</v>
      </c>
    </row>
    <row r="35" spans="1:11" hidden="1" outlineLevel="2" x14ac:dyDescent="0.35">
      <c r="A35" t="s">
        <v>31</v>
      </c>
      <c r="B35" t="s">
        <v>32</v>
      </c>
      <c r="C35" t="s">
        <v>33</v>
      </c>
      <c r="D35" t="s">
        <v>23</v>
      </c>
      <c r="E35" t="s">
        <v>43</v>
      </c>
      <c r="F35" t="s">
        <v>14</v>
      </c>
      <c r="G35" s="5">
        <v>999930</v>
      </c>
      <c r="H35">
        <f t="shared" si="0"/>
        <v>1</v>
      </c>
      <c r="I35" s="5">
        <f t="shared" si="1"/>
        <v>999930</v>
      </c>
      <c r="J35" t="s">
        <v>307</v>
      </c>
      <c r="K35" t="s">
        <v>58</v>
      </c>
    </row>
    <row r="36" spans="1:11" hidden="1" outlineLevel="2" x14ac:dyDescent="0.35">
      <c r="A36" t="s">
        <v>31</v>
      </c>
      <c r="B36" t="s">
        <v>342</v>
      </c>
      <c r="C36" t="s">
        <v>33</v>
      </c>
      <c r="D36" t="s">
        <v>347</v>
      </c>
      <c r="E36" t="s">
        <v>348</v>
      </c>
      <c r="F36" t="s">
        <v>14</v>
      </c>
      <c r="G36" s="5">
        <v>2298114</v>
      </c>
      <c r="H36">
        <f t="shared" si="0"/>
        <v>1</v>
      </c>
      <c r="I36" s="5">
        <f t="shared" si="1"/>
        <v>2298114</v>
      </c>
      <c r="J36" t="s">
        <v>349</v>
      </c>
      <c r="K36" t="s">
        <v>58</v>
      </c>
    </row>
    <row r="37" spans="1:11" hidden="1" outlineLevel="2" x14ac:dyDescent="0.35">
      <c r="A37" t="s">
        <v>31</v>
      </c>
      <c r="B37" t="s">
        <v>350</v>
      </c>
      <c r="C37" t="s">
        <v>33</v>
      </c>
      <c r="D37" t="s">
        <v>235</v>
      </c>
      <c r="E37" t="s">
        <v>236</v>
      </c>
      <c r="F37" t="s">
        <v>14</v>
      </c>
      <c r="G37" s="5">
        <v>1495830</v>
      </c>
      <c r="H37">
        <f t="shared" si="0"/>
        <v>1</v>
      </c>
      <c r="I37" s="5">
        <f t="shared" si="1"/>
        <v>1495830</v>
      </c>
      <c r="J37" t="s">
        <v>351</v>
      </c>
      <c r="K37" t="s">
        <v>52</v>
      </c>
    </row>
    <row r="38" spans="1:11" hidden="1" outlineLevel="2" x14ac:dyDescent="0.35">
      <c r="A38" t="s">
        <v>31</v>
      </c>
      <c r="B38" t="s">
        <v>352</v>
      </c>
      <c r="C38" t="s">
        <v>33</v>
      </c>
      <c r="D38" t="s">
        <v>231</v>
      </c>
      <c r="E38" t="s">
        <v>232</v>
      </c>
      <c r="F38" t="s">
        <v>14</v>
      </c>
      <c r="G38" s="5">
        <v>3380620</v>
      </c>
      <c r="H38">
        <f t="shared" si="0"/>
        <v>1</v>
      </c>
      <c r="I38" s="5">
        <f t="shared" si="1"/>
        <v>3380620</v>
      </c>
      <c r="J38" t="s">
        <v>353</v>
      </c>
      <c r="K38" t="s">
        <v>63</v>
      </c>
    </row>
    <row r="39" spans="1:11" hidden="1" outlineLevel="2" x14ac:dyDescent="0.35">
      <c r="A39" t="s">
        <v>31</v>
      </c>
      <c r="B39" t="s">
        <v>373</v>
      </c>
      <c r="C39" t="s">
        <v>33</v>
      </c>
      <c r="D39" t="s">
        <v>23</v>
      </c>
      <c r="E39" t="s">
        <v>43</v>
      </c>
      <c r="F39" t="s">
        <v>14</v>
      </c>
      <c r="G39" s="5">
        <v>1854918</v>
      </c>
      <c r="H39">
        <f t="shared" si="0"/>
        <v>1</v>
      </c>
      <c r="I39" s="5">
        <f t="shared" si="1"/>
        <v>1854918</v>
      </c>
      <c r="J39" t="s">
        <v>374</v>
      </c>
      <c r="K39" t="s">
        <v>133</v>
      </c>
    </row>
    <row r="40" spans="1:11" hidden="1" outlineLevel="2" x14ac:dyDescent="0.35">
      <c r="A40" t="s">
        <v>31</v>
      </c>
      <c r="B40" t="s">
        <v>408</v>
      </c>
      <c r="C40" t="s">
        <v>33</v>
      </c>
      <c r="F40" t="s">
        <v>135</v>
      </c>
      <c r="G40" s="5">
        <v>21466990.809999999</v>
      </c>
      <c r="H40">
        <f t="shared" si="0"/>
        <v>0.88331419485911133</v>
      </c>
      <c r="I40" s="5">
        <f t="shared" si="1"/>
        <v>18962097.703383092</v>
      </c>
      <c r="J40" t="s">
        <v>409</v>
      </c>
      <c r="K40" t="s">
        <v>410</v>
      </c>
    </row>
    <row r="41" spans="1:11" hidden="1" outlineLevel="2" x14ac:dyDescent="0.35">
      <c r="A41" t="s">
        <v>31</v>
      </c>
      <c r="B41" t="s">
        <v>32</v>
      </c>
      <c r="C41" t="s">
        <v>33</v>
      </c>
      <c r="D41" t="s">
        <v>23</v>
      </c>
      <c r="E41" t="s">
        <v>43</v>
      </c>
      <c r="F41" t="s">
        <v>14</v>
      </c>
      <c r="G41" s="5">
        <v>999930</v>
      </c>
      <c r="H41">
        <f t="shared" si="0"/>
        <v>1</v>
      </c>
      <c r="I41" s="5">
        <f t="shared" si="1"/>
        <v>999930</v>
      </c>
      <c r="J41" t="s">
        <v>307</v>
      </c>
      <c r="K41" t="s">
        <v>306</v>
      </c>
    </row>
    <row r="42" spans="1:11" hidden="1" outlineLevel="2" x14ac:dyDescent="0.35">
      <c r="A42" t="s">
        <v>31</v>
      </c>
      <c r="B42" t="s">
        <v>288</v>
      </c>
      <c r="C42" t="s">
        <v>33</v>
      </c>
      <c r="D42" t="s">
        <v>23</v>
      </c>
      <c r="E42" t="s">
        <v>43</v>
      </c>
      <c r="F42" t="s">
        <v>14</v>
      </c>
      <c r="G42" s="5">
        <v>1299909</v>
      </c>
      <c r="H42">
        <f t="shared" si="0"/>
        <v>1</v>
      </c>
      <c r="I42" s="5">
        <f t="shared" si="1"/>
        <v>1299909</v>
      </c>
      <c r="J42" t="s">
        <v>471</v>
      </c>
      <c r="K42" t="s">
        <v>383</v>
      </c>
    </row>
    <row r="43" spans="1:11" hidden="1" outlineLevel="2" x14ac:dyDescent="0.35">
      <c r="A43" t="s">
        <v>31</v>
      </c>
      <c r="B43" t="s">
        <v>475</v>
      </c>
      <c r="C43" t="s">
        <v>33</v>
      </c>
      <c r="F43" t="s">
        <v>135</v>
      </c>
      <c r="G43" s="5">
        <v>159368.01</v>
      </c>
      <c r="H43">
        <f t="shared" si="0"/>
        <v>0.88331419485911133</v>
      </c>
      <c r="I43" s="5">
        <f t="shared" si="1"/>
        <v>140772.0254394488</v>
      </c>
      <c r="J43" t="s">
        <v>476</v>
      </c>
      <c r="K43" t="s">
        <v>68</v>
      </c>
    </row>
    <row r="44" spans="1:11" hidden="1" outlineLevel="2" x14ac:dyDescent="0.35">
      <c r="A44" t="s">
        <v>31</v>
      </c>
      <c r="B44" t="s">
        <v>484</v>
      </c>
      <c r="C44" t="s">
        <v>33</v>
      </c>
      <c r="F44" t="s">
        <v>135</v>
      </c>
      <c r="G44" s="5">
        <v>4016498.22</v>
      </c>
      <c r="H44">
        <f t="shared" si="0"/>
        <v>0.88331419485911133</v>
      </c>
      <c r="I44" s="5">
        <f t="shared" si="1"/>
        <v>3547829.8913523541</v>
      </c>
      <c r="J44" t="s">
        <v>485</v>
      </c>
      <c r="K44" t="s">
        <v>93</v>
      </c>
    </row>
    <row r="45" spans="1:11" hidden="1" outlineLevel="2" x14ac:dyDescent="0.35">
      <c r="A45" t="s">
        <v>31</v>
      </c>
      <c r="B45" t="s">
        <v>47</v>
      </c>
      <c r="C45" t="s">
        <v>33</v>
      </c>
      <c r="D45" t="s">
        <v>231</v>
      </c>
      <c r="E45" t="s">
        <v>232</v>
      </c>
      <c r="F45" t="s">
        <v>14</v>
      </c>
      <c r="G45" s="5">
        <v>198860</v>
      </c>
      <c r="H45">
        <f t="shared" si="0"/>
        <v>1</v>
      </c>
      <c r="I45" s="5">
        <f t="shared" si="1"/>
        <v>198860</v>
      </c>
      <c r="J45" t="s">
        <v>506</v>
      </c>
      <c r="K45" t="s">
        <v>193</v>
      </c>
    </row>
    <row r="46" spans="1:11" hidden="1" outlineLevel="2" x14ac:dyDescent="0.35">
      <c r="A46" t="s">
        <v>31</v>
      </c>
      <c r="B46" t="s">
        <v>27</v>
      </c>
      <c r="C46" t="s">
        <v>33</v>
      </c>
      <c r="D46" t="s">
        <v>231</v>
      </c>
      <c r="E46" t="s">
        <v>232</v>
      </c>
      <c r="F46" t="s">
        <v>14</v>
      </c>
      <c r="G46" s="5">
        <v>99430</v>
      </c>
      <c r="H46">
        <f t="shared" si="0"/>
        <v>1</v>
      </c>
      <c r="I46" s="5">
        <f t="shared" si="1"/>
        <v>99430</v>
      </c>
      <c r="J46" t="s">
        <v>517</v>
      </c>
      <c r="K46" t="s">
        <v>193</v>
      </c>
    </row>
    <row r="47" spans="1:11" hidden="1" outlineLevel="2" x14ac:dyDescent="0.35">
      <c r="A47" t="s">
        <v>31</v>
      </c>
      <c r="B47" t="s">
        <v>59</v>
      </c>
      <c r="C47" t="s">
        <v>33</v>
      </c>
      <c r="D47" t="s">
        <v>231</v>
      </c>
      <c r="E47" t="s">
        <v>232</v>
      </c>
      <c r="F47" t="s">
        <v>14</v>
      </c>
      <c r="G47" s="5">
        <v>397720</v>
      </c>
      <c r="H47">
        <f t="shared" si="0"/>
        <v>1</v>
      </c>
      <c r="I47" s="5">
        <f t="shared" si="1"/>
        <v>397720</v>
      </c>
      <c r="J47" t="s">
        <v>544</v>
      </c>
      <c r="K47" t="s">
        <v>84</v>
      </c>
    </row>
    <row r="48" spans="1:11" hidden="1" outlineLevel="2" x14ac:dyDescent="0.35">
      <c r="A48" t="s">
        <v>31</v>
      </c>
      <c r="B48" t="s">
        <v>550</v>
      </c>
      <c r="C48" t="s">
        <v>33</v>
      </c>
      <c r="F48" t="s">
        <v>135</v>
      </c>
      <c r="G48" s="5">
        <v>1749587.69</v>
      </c>
      <c r="H48">
        <f t="shared" si="0"/>
        <v>0.88331419485911133</v>
      </c>
      <c r="I48" s="5">
        <f t="shared" si="1"/>
        <v>1545435.6417277625</v>
      </c>
      <c r="J48" t="s">
        <v>551</v>
      </c>
      <c r="K48" t="s">
        <v>460</v>
      </c>
    </row>
    <row r="49" spans="1:11" hidden="1" outlineLevel="2" x14ac:dyDescent="0.35">
      <c r="A49" t="s">
        <v>31</v>
      </c>
      <c r="B49" t="s">
        <v>558</v>
      </c>
      <c r="C49" t="s">
        <v>33</v>
      </c>
      <c r="F49" t="s">
        <v>135</v>
      </c>
      <c r="G49" s="5">
        <v>1829711.07</v>
      </c>
      <c r="H49">
        <f t="shared" si="0"/>
        <v>0.88331419485911133</v>
      </c>
      <c r="I49" s="5">
        <f t="shared" si="1"/>
        <v>1616209.7606218532</v>
      </c>
      <c r="J49" t="s">
        <v>559</v>
      </c>
      <c r="K49" t="s">
        <v>365</v>
      </c>
    </row>
    <row r="50" spans="1:11" outlineLevel="1" collapsed="1" x14ac:dyDescent="0.35">
      <c r="A50" s="2" t="s">
        <v>572</v>
      </c>
      <c r="I50" s="5">
        <f>SUBTOTAL(9,I19:I49)</f>
        <v>55099541.110167831</v>
      </c>
    </row>
    <row r="51" spans="1:11" hidden="1" outlineLevel="2" x14ac:dyDescent="0.35">
      <c r="A51" t="s">
        <v>53</v>
      </c>
      <c r="B51" t="s">
        <v>21</v>
      </c>
      <c r="C51" t="s">
        <v>54</v>
      </c>
      <c r="D51" t="s">
        <v>55</v>
      </c>
      <c r="E51" t="s">
        <v>56</v>
      </c>
      <c r="F51" t="s">
        <v>14</v>
      </c>
      <c r="G51" s="5">
        <v>263845.78000000003</v>
      </c>
      <c r="H51">
        <f t="shared" si="0"/>
        <v>1</v>
      </c>
      <c r="I51" s="5">
        <f t="shared" si="1"/>
        <v>263845.78000000003</v>
      </c>
      <c r="J51" t="s">
        <v>57</v>
      </c>
      <c r="K51" t="s">
        <v>58</v>
      </c>
    </row>
    <row r="52" spans="1:11" hidden="1" outlineLevel="2" x14ac:dyDescent="0.35">
      <c r="A52" t="s">
        <v>53</v>
      </c>
      <c r="B52" t="s">
        <v>111</v>
      </c>
      <c r="C52" t="s">
        <v>112</v>
      </c>
      <c r="F52" t="s">
        <v>113</v>
      </c>
      <c r="G52" s="5">
        <v>927154.45</v>
      </c>
      <c r="H52">
        <f t="shared" si="0"/>
        <v>0.13406263406263405</v>
      </c>
      <c r="I52" s="5">
        <f t="shared" si="1"/>
        <v>124296.76774989274</v>
      </c>
      <c r="J52" t="s">
        <v>114</v>
      </c>
      <c r="K52" t="s">
        <v>63</v>
      </c>
    </row>
    <row r="53" spans="1:11" hidden="1" outlineLevel="2" x14ac:dyDescent="0.35">
      <c r="A53" t="s">
        <v>53</v>
      </c>
      <c r="B53" t="s">
        <v>131</v>
      </c>
      <c r="C53" t="s">
        <v>112</v>
      </c>
      <c r="F53" t="s">
        <v>113</v>
      </c>
      <c r="G53" s="5">
        <v>832456.56</v>
      </c>
      <c r="H53">
        <f t="shared" si="0"/>
        <v>0.13406263406263405</v>
      </c>
      <c r="I53" s="5">
        <f t="shared" si="1"/>
        <v>111601.31917631917</v>
      </c>
      <c r="J53" t="s">
        <v>132</v>
      </c>
      <c r="K53" t="s">
        <v>133</v>
      </c>
    </row>
    <row r="54" spans="1:11" hidden="1" outlineLevel="2" x14ac:dyDescent="0.35">
      <c r="A54" t="s">
        <v>53</v>
      </c>
      <c r="B54" t="s">
        <v>208</v>
      </c>
      <c r="C54" t="s">
        <v>209</v>
      </c>
      <c r="F54" t="s">
        <v>210</v>
      </c>
      <c r="G54" s="5">
        <v>1376.35</v>
      </c>
      <c r="H54">
        <f t="shared" si="0"/>
        <v>0.20686373885521606</v>
      </c>
      <c r="I54" s="5">
        <f t="shared" si="1"/>
        <v>284.71690697337658</v>
      </c>
      <c r="J54" t="s">
        <v>211</v>
      </c>
      <c r="K54" t="s">
        <v>212</v>
      </c>
    </row>
    <row r="55" spans="1:11" hidden="1" outlineLevel="2" x14ac:dyDescent="0.35">
      <c r="A55" t="s">
        <v>53</v>
      </c>
      <c r="B55" t="s">
        <v>308</v>
      </c>
      <c r="C55" t="s">
        <v>54</v>
      </c>
      <c r="D55" t="s">
        <v>309</v>
      </c>
      <c r="E55" t="s">
        <v>310</v>
      </c>
      <c r="F55" t="s">
        <v>14</v>
      </c>
      <c r="G55" s="5">
        <v>2093855</v>
      </c>
      <c r="H55">
        <f t="shared" si="0"/>
        <v>1</v>
      </c>
      <c r="I55" s="5">
        <f t="shared" si="1"/>
        <v>2093855</v>
      </c>
      <c r="J55" t="s">
        <v>311</v>
      </c>
      <c r="K55" t="s">
        <v>68</v>
      </c>
    </row>
    <row r="56" spans="1:11" hidden="1" outlineLevel="2" x14ac:dyDescent="0.35">
      <c r="A56" t="s">
        <v>53</v>
      </c>
      <c r="B56" t="s">
        <v>312</v>
      </c>
      <c r="C56" t="s">
        <v>54</v>
      </c>
      <c r="D56" t="s">
        <v>313</v>
      </c>
      <c r="E56" t="s">
        <v>314</v>
      </c>
      <c r="F56" t="s">
        <v>14</v>
      </c>
      <c r="G56" s="5">
        <v>1699694</v>
      </c>
      <c r="H56">
        <f t="shared" si="0"/>
        <v>1</v>
      </c>
      <c r="I56" s="5">
        <f t="shared" si="1"/>
        <v>1699694</v>
      </c>
      <c r="J56" t="s">
        <v>315</v>
      </c>
      <c r="K56" t="s">
        <v>316</v>
      </c>
    </row>
    <row r="57" spans="1:11" hidden="1" outlineLevel="2" x14ac:dyDescent="0.35">
      <c r="A57" t="s">
        <v>53</v>
      </c>
      <c r="B57" t="s">
        <v>32</v>
      </c>
      <c r="C57" t="s">
        <v>54</v>
      </c>
      <c r="D57" t="s">
        <v>309</v>
      </c>
      <c r="E57" t="s">
        <v>310</v>
      </c>
      <c r="F57" t="s">
        <v>14</v>
      </c>
      <c r="G57" s="5">
        <v>998370</v>
      </c>
      <c r="H57">
        <f t="shared" si="0"/>
        <v>1</v>
      </c>
      <c r="I57" s="5">
        <f t="shared" si="1"/>
        <v>998370</v>
      </c>
      <c r="J57" t="s">
        <v>356</v>
      </c>
      <c r="K57" t="s">
        <v>45</v>
      </c>
    </row>
    <row r="58" spans="1:11" hidden="1" outlineLevel="2" x14ac:dyDescent="0.35">
      <c r="A58" t="s">
        <v>53</v>
      </c>
      <c r="B58" t="s">
        <v>391</v>
      </c>
      <c r="C58" t="s">
        <v>112</v>
      </c>
      <c r="F58" t="s">
        <v>113</v>
      </c>
      <c r="G58" s="5">
        <v>19595740.120000001</v>
      </c>
      <c r="H58">
        <f t="shared" si="0"/>
        <v>0.13406263406263405</v>
      </c>
      <c r="I58" s="5">
        <f t="shared" si="1"/>
        <v>2627056.5368940369</v>
      </c>
      <c r="J58" t="s">
        <v>392</v>
      </c>
      <c r="K58" t="s">
        <v>393</v>
      </c>
    </row>
    <row r="59" spans="1:11" hidden="1" outlineLevel="2" x14ac:dyDescent="0.35">
      <c r="A59" t="s">
        <v>53</v>
      </c>
      <c r="B59" t="s">
        <v>498</v>
      </c>
      <c r="C59" t="s">
        <v>112</v>
      </c>
      <c r="F59" t="s">
        <v>113</v>
      </c>
      <c r="G59" s="5">
        <v>24089041.739999998</v>
      </c>
      <c r="H59">
        <f t="shared" si="0"/>
        <v>0.13406263406263405</v>
      </c>
      <c r="I59" s="5">
        <f t="shared" si="1"/>
        <v>3229440.3877091371</v>
      </c>
      <c r="J59" t="s">
        <v>499</v>
      </c>
      <c r="K59" t="s">
        <v>137</v>
      </c>
    </row>
    <row r="60" spans="1:11" hidden="1" outlineLevel="2" x14ac:dyDescent="0.35">
      <c r="A60" t="s">
        <v>53</v>
      </c>
      <c r="B60" t="s">
        <v>47</v>
      </c>
      <c r="C60" t="s">
        <v>54</v>
      </c>
      <c r="D60" t="s">
        <v>313</v>
      </c>
      <c r="E60" t="s">
        <v>314</v>
      </c>
      <c r="F60" t="s">
        <v>14</v>
      </c>
      <c r="G60" s="5">
        <v>199964</v>
      </c>
      <c r="H60">
        <f t="shared" si="0"/>
        <v>1</v>
      </c>
      <c r="I60" s="5">
        <f t="shared" si="1"/>
        <v>199964</v>
      </c>
      <c r="J60" t="s">
        <v>507</v>
      </c>
      <c r="K60" t="s">
        <v>193</v>
      </c>
    </row>
    <row r="61" spans="1:11" hidden="1" outlineLevel="2" x14ac:dyDescent="0.35">
      <c r="A61" t="s">
        <v>53</v>
      </c>
      <c r="B61" t="s">
        <v>514</v>
      </c>
      <c r="C61" t="s">
        <v>112</v>
      </c>
      <c r="F61" t="s">
        <v>113</v>
      </c>
      <c r="G61" s="5">
        <v>1128993.94</v>
      </c>
      <c r="H61">
        <f t="shared" si="0"/>
        <v>0.13406263406263405</v>
      </c>
      <c r="I61" s="5">
        <f t="shared" si="1"/>
        <v>151355.90143715142</v>
      </c>
      <c r="J61" t="s">
        <v>515</v>
      </c>
      <c r="K61" t="s">
        <v>133</v>
      </c>
    </row>
    <row r="62" spans="1:11" hidden="1" outlineLevel="2" x14ac:dyDescent="0.35">
      <c r="A62" t="s">
        <v>53</v>
      </c>
      <c r="B62" t="s">
        <v>342</v>
      </c>
      <c r="C62" t="s">
        <v>54</v>
      </c>
      <c r="D62" t="s">
        <v>313</v>
      </c>
      <c r="E62" t="s">
        <v>314</v>
      </c>
      <c r="F62" t="s">
        <v>14</v>
      </c>
      <c r="G62" s="5">
        <v>2299586</v>
      </c>
      <c r="H62">
        <f t="shared" si="0"/>
        <v>1</v>
      </c>
      <c r="I62" s="5">
        <f t="shared" si="1"/>
        <v>2299586</v>
      </c>
      <c r="J62" t="s">
        <v>516</v>
      </c>
      <c r="K62" t="s">
        <v>80</v>
      </c>
    </row>
    <row r="63" spans="1:11" hidden="1" outlineLevel="2" x14ac:dyDescent="0.35">
      <c r="A63" t="s">
        <v>53</v>
      </c>
      <c r="B63" t="s">
        <v>534</v>
      </c>
      <c r="C63" t="s">
        <v>112</v>
      </c>
      <c r="F63" t="s">
        <v>113</v>
      </c>
      <c r="G63" s="5">
        <v>447822.48</v>
      </c>
      <c r="H63">
        <f t="shared" si="0"/>
        <v>0.13406263406263405</v>
      </c>
      <c r="I63" s="5">
        <f t="shared" si="1"/>
        <v>60036.26126126125</v>
      </c>
      <c r="J63" t="s">
        <v>535</v>
      </c>
      <c r="K63" t="s">
        <v>536</v>
      </c>
    </row>
    <row r="64" spans="1:11" hidden="1" outlineLevel="2" x14ac:dyDescent="0.35">
      <c r="A64" t="s">
        <v>53</v>
      </c>
      <c r="B64" t="s">
        <v>537</v>
      </c>
      <c r="C64" t="s">
        <v>54</v>
      </c>
      <c r="D64" t="s">
        <v>12</v>
      </c>
      <c r="E64" t="s">
        <v>538</v>
      </c>
      <c r="F64" t="s">
        <v>14</v>
      </c>
      <c r="G64" s="5">
        <v>641478</v>
      </c>
      <c r="H64">
        <f t="shared" si="0"/>
        <v>1</v>
      </c>
      <c r="I64" s="5">
        <f t="shared" si="1"/>
        <v>641478</v>
      </c>
      <c r="J64" t="s">
        <v>539</v>
      </c>
      <c r="K64" t="s">
        <v>58</v>
      </c>
    </row>
    <row r="65" spans="1:11" hidden="1" outlineLevel="2" x14ac:dyDescent="0.35">
      <c r="A65" t="s">
        <v>53</v>
      </c>
      <c r="B65" t="s">
        <v>21</v>
      </c>
      <c r="C65" t="s">
        <v>54</v>
      </c>
      <c r="D65" t="s">
        <v>313</v>
      </c>
      <c r="E65" t="s">
        <v>314</v>
      </c>
      <c r="F65" t="s">
        <v>14</v>
      </c>
      <c r="G65" s="5">
        <v>299946</v>
      </c>
      <c r="H65">
        <f t="shared" si="0"/>
        <v>1</v>
      </c>
      <c r="I65" s="5">
        <f t="shared" si="1"/>
        <v>299946</v>
      </c>
      <c r="J65" t="s">
        <v>549</v>
      </c>
      <c r="K65" t="s">
        <v>157</v>
      </c>
    </row>
    <row r="66" spans="1:11" hidden="1" outlineLevel="2" x14ac:dyDescent="0.35">
      <c r="A66" t="s">
        <v>53</v>
      </c>
      <c r="B66" t="s">
        <v>564</v>
      </c>
      <c r="C66" t="s">
        <v>112</v>
      </c>
      <c r="F66" t="s">
        <v>113</v>
      </c>
      <c r="G66" s="5">
        <v>602504.07999999996</v>
      </c>
      <c r="H66">
        <f t="shared" si="0"/>
        <v>0.13406263406263405</v>
      </c>
      <c r="I66" s="5">
        <f t="shared" si="1"/>
        <v>80773.28399828398</v>
      </c>
      <c r="J66" t="s">
        <v>565</v>
      </c>
      <c r="K66" t="s">
        <v>26</v>
      </c>
    </row>
    <row r="67" spans="1:11" outlineLevel="1" collapsed="1" x14ac:dyDescent="0.35">
      <c r="A67" s="2" t="s">
        <v>573</v>
      </c>
      <c r="I67" s="5">
        <f>SUBTOTAL(9,I51:I66)</f>
        <v>14881583.955133058</v>
      </c>
    </row>
    <row r="68" spans="1:11" hidden="1" outlineLevel="2" x14ac:dyDescent="0.35">
      <c r="A68" t="s">
        <v>69</v>
      </c>
      <c r="B68" t="s">
        <v>70</v>
      </c>
      <c r="C68" t="s">
        <v>71</v>
      </c>
      <c r="F68" t="s">
        <v>14</v>
      </c>
      <c r="G68" s="5">
        <v>482832.03</v>
      </c>
      <c r="H68">
        <f t="shared" si="0"/>
        <v>1</v>
      </c>
      <c r="I68" s="5">
        <f t="shared" si="1"/>
        <v>482832.03</v>
      </c>
      <c r="J68" t="s">
        <v>72</v>
      </c>
      <c r="K68" t="s">
        <v>73</v>
      </c>
    </row>
    <row r="69" spans="1:11" hidden="1" outlineLevel="2" x14ac:dyDescent="0.35">
      <c r="A69" t="s">
        <v>69</v>
      </c>
      <c r="B69" t="s">
        <v>96</v>
      </c>
      <c r="C69" t="s">
        <v>71</v>
      </c>
      <c r="F69" t="s">
        <v>14</v>
      </c>
      <c r="G69" s="5">
        <v>768313.35</v>
      </c>
      <c r="H69">
        <f t="shared" si="0"/>
        <v>1</v>
      </c>
      <c r="I69" s="5">
        <f t="shared" si="1"/>
        <v>768313.35</v>
      </c>
      <c r="J69" t="s">
        <v>97</v>
      </c>
      <c r="K69" t="s">
        <v>26</v>
      </c>
    </row>
    <row r="70" spans="1:11" hidden="1" outlineLevel="2" x14ac:dyDescent="0.35">
      <c r="A70" t="s">
        <v>69</v>
      </c>
      <c r="B70" t="s">
        <v>117</v>
      </c>
      <c r="C70" t="s">
        <v>71</v>
      </c>
      <c r="F70" t="s">
        <v>14</v>
      </c>
      <c r="G70" s="5">
        <v>834222.8</v>
      </c>
      <c r="H70">
        <f t="shared" si="0"/>
        <v>1</v>
      </c>
      <c r="I70" s="5">
        <f t="shared" si="1"/>
        <v>834222.8</v>
      </c>
      <c r="J70" t="s">
        <v>118</v>
      </c>
      <c r="K70" t="s">
        <v>119</v>
      </c>
    </row>
    <row r="71" spans="1:11" hidden="1" outlineLevel="2" x14ac:dyDescent="0.35">
      <c r="A71" t="s">
        <v>69</v>
      </c>
      <c r="B71" t="s">
        <v>218</v>
      </c>
      <c r="C71" t="s">
        <v>71</v>
      </c>
      <c r="F71" t="s">
        <v>14</v>
      </c>
      <c r="G71" s="5">
        <v>166158.16</v>
      </c>
      <c r="H71">
        <f t="shared" si="0"/>
        <v>1</v>
      </c>
      <c r="I71" s="5">
        <f t="shared" si="1"/>
        <v>166158.16</v>
      </c>
      <c r="J71" t="s">
        <v>219</v>
      </c>
      <c r="K71" t="s">
        <v>45</v>
      </c>
    </row>
    <row r="72" spans="1:11" hidden="1" outlineLevel="2" x14ac:dyDescent="0.35">
      <c r="A72" t="s">
        <v>69</v>
      </c>
      <c r="B72" t="s">
        <v>283</v>
      </c>
      <c r="C72" t="s">
        <v>284</v>
      </c>
      <c r="D72" t="s">
        <v>285</v>
      </c>
      <c r="E72" t="s">
        <v>286</v>
      </c>
      <c r="F72" t="s">
        <v>14</v>
      </c>
      <c r="G72" s="5">
        <v>2600000</v>
      </c>
      <c r="H72">
        <f t="shared" si="0"/>
        <v>1</v>
      </c>
      <c r="I72" s="5">
        <f t="shared" si="1"/>
        <v>2600000</v>
      </c>
      <c r="J72" t="s">
        <v>287</v>
      </c>
      <c r="K72" t="s">
        <v>80</v>
      </c>
    </row>
    <row r="73" spans="1:11" hidden="1" outlineLevel="2" x14ac:dyDescent="0.35">
      <c r="A73" t="s">
        <v>69</v>
      </c>
      <c r="B73" t="s">
        <v>288</v>
      </c>
      <c r="C73" t="s">
        <v>284</v>
      </c>
      <c r="D73" t="s">
        <v>289</v>
      </c>
      <c r="E73" t="s">
        <v>290</v>
      </c>
      <c r="F73" t="s">
        <v>14</v>
      </c>
      <c r="G73" s="5">
        <v>1300000</v>
      </c>
      <c r="H73">
        <f t="shared" ref="H73:H143" si="2">_xlfn.XLOOKUP(F73, $N$2:$N$12, $O$2:$O$12)</f>
        <v>1</v>
      </c>
      <c r="I73" s="5">
        <f t="shared" ref="I73:I143" si="3">G73*H73</f>
        <v>1300000</v>
      </c>
      <c r="J73" t="s">
        <v>291</v>
      </c>
      <c r="K73" t="s">
        <v>26</v>
      </c>
    </row>
    <row r="74" spans="1:11" hidden="1" outlineLevel="2" x14ac:dyDescent="0.35">
      <c r="A74" t="s">
        <v>69</v>
      </c>
      <c r="B74" t="s">
        <v>32</v>
      </c>
      <c r="C74" t="s">
        <v>71</v>
      </c>
      <c r="D74" t="s">
        <v>292</v>
      </c>
      <c r="E74" t="s">
        <v>293</v>
      </c>
      <c r="F74" t="s">
        <v>14</v>
      </c>
      <c r="G74" s="5">
        <v>942080</v>
      </c>
      <c r="H74">
        <f t="shared" si="2"/>
        <v>1</v>
      </c>
      <c r="I74" s="5">
        <f t="shared" si="3"/>
        <v>942080</v>
      </c>
      <c r="J74" t="s">
        <v>294</v>
      </c>
      <c r="K74" t="s">
        <v>157</v>
      </c>
    </row>
    <row r="75" spans="1:11" hidden="1" outlineLevel="2" x14ac:dyDescent="0.35">
      <c r="A75" t="s">
        <v>69</v>
      </c>
      <c r="B75" t="s">
        <v>325</v>
      </c>
      <c r="C75" t="s">
        <v>71</v>
      </c>
      <c r="D75" t="s">
        <v>326</v>
      </c>
      <c r="E75" t="s">
        <v>327</v>
      </c>
      <c r="F75" t="s">
        <v>14</v>
      </c>
      <c r="G75" s="5">
        <v>5956014</v>
      </c>
      <c r="H75">
        <f t="shared" si="2"/>
        <v>1</v>
      </c>
      <c r="I75" s="5">
        <f t="shared" si="3"/>
        <v>5956014</v>
      </c>
      <c r="J75" t="s">
        <v>328</v>
      </c>
      <c r="K75" t="s">
        <v>73</v>
      </c>
    </row>
    <row r="76" spans="1:11" hidden="1" outlineLevel="2" x14ac:dyDescent="0.35">
      <c r="A76" t="s">
        <v>69</v>
      </c>
      <c r="B76" t="s">
        <v>329</v>
      </c>
      <c r="C76" t="s">
        <v>71</v>
      </c>
      <c r="D76" t="s">
        <v>231</v>
      </c>
      <c r="E76" t="s">
        <v>330</v>
      </c>
      <c r="F76" t="s">
        <v>14</v>
      </c>
      <c r="G76" s="5">
        <v>1781514</v>
      </c>
      <c r="H76">
        <f t="shared" si="2"/>
        <v>1</v>
      </c>
      <c r="I76" s="5">
        <f t="shared" si="3"/>
        <v>1781514</v>
      </c>
      <c r="J76" t="s">
        <v>331</v>
      </c>
      <c r="K76" t="s">
        <v>52</v>
      </c>
    </row>
    <row r="77" spans="1:11" hidden="1" outlineLevel="2" x14ac:dyDescent="0.35">
      <c r="A77" t="s">
        <v>69</v>
      </c>
      <c r="B77" t="s">
        <v>329</v>
      </c>
      <c r="C77" t="s">
        <v>71</v>
      </c>
      <c r="D77" t="s">
        <v>332</v>
      </c>
      <c r="E77" t="s">
        <v>333</v>
      </c>
      <c r="F77" t="s">
        <v>14</v>
      </c>
      <c r="G77" s="5">
        <v>1791612</v>
      </c>
      <c r="H77">
        <f t="shared" si="2"/>
        <v>1</v>
      </c>
      <c r="I77" s="5">
        <f t="shared" si="3"/>
        <v>1791612</v>
      </c>
      <c r="J77" t="s">
        <v>334</v>
      </c>
      <c r="K77" t="s">
        <v>52</v>
      </c>
    </row>
    <row r="78" spans="1:11" hidden="1" outlineLevel="2" x14ac:dyDescent="0.35">
      <c r="A78" t="s">
        <v>69</v>
      </c>
      <c r="B78" t="s">
        <v>397</v>
      </c>
      <c r="C78" t="s">
        <v>71</v>
      </c>
      <c r="F78" t="s">
        <v>14</v>
      </c>
      <c r="G78" s="5">
        <v>3197875.35</v>
      </c>
      <c r="H78">
        <f t="shared" si="2"/>
        <v>1</v>
      </c>
      <c r="I78" s="5">
        <f t="shared" si="3"/>
        <v>3197875.35</v>
      </c>
      <c r="J78" t="s">
        <v>398</v>
      </c>
      <c r="K78" t="s">
        <v>399</v>
      </c>
    </row>
    <row r="79" spans="1:11" hidden="1" outlineLevel="2" x14ac:dyDescent="0.35">
      <c r="A79" t="s">
        <v>69</v>
      </c>
      <c r="B79" t="s">
        <v>452</v>
      </c>
      <c r="C79" t="s">
        <v>71</v>
      </c>
      <c r="F79" t="s">
        <v>14</v>
      </c>
      <c r="G79" s="5">
        <v>4397598.9400000004</v>
      </c>
      <c r="H79">
        <f t="shared" si="2"/>
        <v>1</v>
      </c>
      <c r="I79" s="5">
        <f t="shared" si="3"/>
        <v>4397598.9400000004</v>
      </c>
      <c r="J79" t="s">
        <v>453</v>
      </c>
      <c r="K79" t="s">
        <v>383</v>
      </c>
    </row>
    <row r="80" spans="1:11" hidden="1" outlineLevel="2" x14ac:dyDescent="0.35">
      <c r="A80" t="s">
        <v>69</v>
      </c>
      <c r="B80" t="s">
        <v>466</v>
      </c>
      <c r="C80" t="s">
        <v>71</v>
      </c>
      <c r="F80" t="s">
        <v>14</v>
      </c>
      <c r="G80" s="5">
        <v>1526885.65</v>
      </c>
      <c r="H80">
        <f t="shared" si="2"/>
        <v>1</v>
      </c>
      <c r="I80" s="5">
        <f t="shared" si="3"/>
        <v>1526885.65</v>
      </c>
      <c r="J80" t="s">
        <v>467</v>
      </c>
      <c r="K80" t="s">
        <v>468</v>
      </c>
    </row>
    <row r="81" spans="1:11" hidden="1" outlineLevel="2" x14ac:dyDescent="0.35">
      <c r="A81" t="s">
        <v>69</v>
      </c>
      <c r="B81" t="s">
        <v>486</v>
      </c>
      <c r="C81" t="s">
        <v>71</v>
      </c>
      <c r="F81" t="s">
        <v>14</v>
      </c>
      <c r="G81" s="5">
        <v>4395222.16</v>
      </c>
      <c r="H81">
        <f t="shared" si="2"/>
        <v>1</v>
      </c>
      <c r="I81" s="5">
        <f t="shared" si="3"/>
        <v>4395222.16</v>
      </c>
      <c r="J81" t="s">
        <v>487</v>
      </c>
      <c r="K81" t="s">
        <v>424</v>
      </c>
    </row>
    <row r="82" spans="1:11" hidden="1" outlineLevel="2" x14ac:dyDescent="0.35">
      <c r="A82" t="s">
        <v>69</v>
      </c>
      <c r="B82" t="s">
        <v>47</v>
      </c>
      <c r="C82" t="s">
        <v>71</v>
      </c>
      <c r="D82" t="s">
        <v>332</v>
      </c>
      <c r="E82" t="s">
        <v>333</v>
      </c>
      <c r="F82" t="s">
        <v>14</v>
      </c>
      <c r="G82" s="5">
        <v>179744</v>
      </c>
      <c r="H82">
        <f t="shared" si="2"/>
        <v>1</v>
      </c>
      <c r="I82" s="5">
        <f t="shared" si="3"/>
        <v>179744</v>
      </c>
      <c r="J82" t="s">
        <v>500</v>
      </c>
      <c r="K82" t="s">
        <v>193</v>
      </c>
    </row>
    <row r="83" spans="1:11" hidden="1" outlineLevel="2" x14ac:dyDescent="0.35">
      <c r="A83" t="s">
        <v>69</v>
      </c>
      <c r="B83" t="s">
        <v>27</v>
      </c>
      <c r="C83" t="s">
        <v>71</v>
      </c>
      <c r="D83" t="s">
        <v>332</v>
      </c>
      <c r="E83" t="s">
        <v>333</v>
      </c>
      <c r="F83" t="s">
        <v>14</v>
      </c>
      <c r="G83" s="5">
        <v>95401.5</v>
      </c>
      <c r="H83">
        <f t="shared" si="2"/>
        <v>1</v>
      </c>
      <c r="I83" s="5">
        <f t="shared" si="3"/>
        <v>95401.5</v>
      </c>
      <c r="J83" t="s">
        <v>518</v>
      </c>
      <c r="K83" t="s">
        <v>193</v>
      </c>
    </row>
    <row r="84" spans="1:11" hidden="1" outlineLevel="2" x14ac:dyDescent="0.35">
      <c r="A84" t="s">
        <v>69</v>
      </c>
      <c r="B84" t="s">
        <v>59</v>
      </c>
      <c r="C84" t="s">
        <v>71</v>
      </c>
      <c r="D84" t="s">
        <v>332</v>
      </c>
      <c r="E84" t="s">
        <v>333</v>
      </c>
      <c r="F84" t="s">
        <v>14</v>
      </c>
      <c r="G84" s="5">
        <v>372198</v>
      </c>
      <c r="H84">
        <f t="shared" si="2"/>
        <v>1</v>
      </c>
      <c r="I84" s="5">
        <f t="shared" si="3"/>
        <v>372198</v>
      </c>
      <c r="J84" t="s">
        <v>545</v>
      </c>
      <c r="K84" t="s">
        <v>234</v>
      </c>
    </row>
    <row r="85" spans="1:11" outlineLevel="1" collapsed="1" x14ac:dyDescent="0.35">
      <c r="A85" s="2" t="s">
        <v>574</v>
      </c>
      <c r="I85" s="5">
        <f>SUBTOTAL(9,I68:I84)</f>
        <v>30787671.940000001</v>
      </c>
    </row>
    <row r="86" spans="1:11" hidden="1" outlineLevel="2" x14ac:dyDescent="0.35">
      <c r="A86" t="s">
        <v>138</v>
      </c>
      <c r="B86" t="s">
        <v>139</v>
      </c>
      <c r="C86" t="s">
        <v>140</v>
      </c>
      <c r="F86" t="s">
        <v>135</v>
      </c>
      <c r="G86" s="5">
        <v>1478522.68</v>
      </c>
      <c r="H86">
        <f t="shared" si="2"/>
        <v>0.88331419485911133</v>
      </c>
      <c r="I86" s="5">
        <f t="shared" si="3"/>
        <v>1306000.0706651355</v>
      </c>
      <c r="J86" t="s">
        <v>141</v>
      </c>
      <c r="K86" t="s">
        <v>142</v>
      </c>
    </row>
    <row r="87" spans="1:11" hidden="1" outlineLevel="2" x14ac:dyDescent="0.35">
      <c r="A87" t="s">
        <v>138</v>
      </c>
      <c r="B87" t="s">
        <v>158</v>
      </c>
      <c r="C87" t="s">
        <v>140</v>
      </c>
      <c r="F87" t="s">
        <v>135</v>
      </c>
      <c r="G87" s="5">
        <v>2201767.7999999998</v>
      </c>
      <c r="H87">
        <f t="shared" si="2"/>
        <v>0.88331419485911133</v>
      </c>
      <c r="I87" s="5">
        <f t="shared" si="3"/>
        <v>1944852.7515237166</v>
      </c>
      <c r="J87" t="s">
        <v>159</v>
      </c>
      <c r="K87" t="s">
        <v>160</v>
      </c>
    </row>
    <row r="88" spans="1:11" hidden="1" outlineLevel="2" x14ac:dyDescent="0.35">
      <c r="A88" t="s">
        <v>138</v>
      </c>
      <c r="B88" t="s">
        <v>176</v>
      </c>
      <c r="C88" t="s">
        <v>140</v>
      </c>
      <c r="F88" t="s">
        <v>135</v>
      </c>
      <c r="G88" s="5">
        <v>4645606.3499999996</v>
      </c>
      <c r="H88">
        <f t="shared" si="2"/>
        <v>0.88331419485911133</v>
      </c>
      <c r="I88" s="5">
        <f t="shared" si="3"/>
        <v>4103530.0326826246</v>
      </c>
      <c r="J88" t="s">
        <v>177</v>
      </c>
      <c r="K88" t="s">
        <v>42</v>
      </c>
    </row>
    <row r="89" spans="1:11" hidden="1" outlineLevel="2" x14ac:dyDescent="0.35">
      <c r="A89" t="s">
        <v>138</v>
      </c>
      <c r="B89" t="s">
        <v>215</v>
      </c>
      <c r="C89" t="s">
        <v>140</v>
      </c>
      <c r="F89" t="s">
        <v>135</v>
      </c>
      <c r="G89" s="5">
        <v>1298220.57</v>
      </c>
      <c r="H89">
        <f t="shared" si="2"/>
        <v>0.88331419485911133</v>
      </c>
      <c r="I89" s="5">
        <f t="shared" si="3"/>
        <v>1146736.6575390866</v>
      </c>
      <c r="J89" t="s">
        <v>216</v>
      </c>
      <c r="K89" t="s">
        <v>217</v>
      </c>
    </row>
    <row r="90" spans="1:11" hidden="1" outlineLevel="2" x14ac:dyDescent="0.35">
      <c r="A90" t="s">
        <v>138</v>
      </c>
      <c r="B90" t="s">
        <v>276</v>
      </c>
      <c r="C90" t="s">
        <v>140</v>
      </c>
      <c r="F90" t="s">
        <v>135</v>
      </c>
      <c r="G90" s="5">
        <v>7280483.8099999996</v>
      </c>
      <c r="H90">
        <f t="shared" si="2"/>
        <v>0.88331419485911133</v>
      </c>
      <c r="I90" s="5">
        <f t="shared" si="3"/>
        <v>6430954.6948149446</v>
      </c>
      <c r="J90" t="s">
        <v>277</v>
      </c>
      <c r="K90" t="s">
        <v>278</v>
      </c>
    </row>
    <row r="91" spans="1:11" hidden="1" outlineLevel="2" x14ac:dyDescent="0.35">
      <c r="A91" t="s">
        <v>138</v>
      </c>
      <c r="B91" t="s">
        <v>422</v>
      </c>
      <c r="C91" t="s">
        <v>140</v>
      </c>
      <c r="F91" t="s">
        <v>135</v>
      </c>
      <c r="G91" s="5">
        <v>3826407.03</v>
      </c>
      <c r="H91">
        <f t="shared" si="2"/>
        <v>0.88331419485911133</v>
      </c>
      <c r="I91" s="5">
        <f t="shared" si="3"/>
        <v>3379919.6449076934</v>
      </c>
      <c r="J91" t="s">
        <v>423</v>
      </c>
      <c r="K91" t="s">
        <v>424</v>
      </c>
    </row>
    <row r="92" spans="1:11" hidden="1" outlineLevel="2" x14ac:dyDescent="0.35">
      <c r="A92" t="s">
        <v>138</v>
      </c>
      <c r="B92" t="s">
        <v>449</v>
      </c>
      <c r="C92" t="s">
        <v>140</v>
      </c>
      <c r="F92" t="s">
        <v>135</v>
      </c>
      <c r="G92" s="5">
        <v>3216166.76</v>
      </c>
      <c r="H92">
        <f t="shared" si="2"/>
        <v>0.88331419485911133</v>
      </c>
      <c r="I92" s="5">
        <f t="shared" si="3"/>
        <v>2840885.7521420363</v>
      </c>
      <c r="J92" t="s">
        <v>450</v>
      </c>
      <c r="K92" t="s">
        <v>451</v>
      </c>
    </row>
    <row r="93" spans="1:11" hidden="1" outlineLevel="2" x14ac:dyDescent="0.35">
      <c r="A93" t="s">
        <v>138</v>
      </c>
      <c r="B93" t="s">
        <v>456</v>
      </c>
      <c r="C93" t="s">
        <v>140</v>
      </c>
      <c r="F93" t="s">
        <v>135</v>
      </c>
      <c r="G93" s="5">
        <v>2534436.23</v>
      </c>
      <c r="H93">
        <f t="shared" si="2"/>
        <v>0.88331419485911133</v>
      </c>
      <c r="I93" s="5">
        <f t="shared" si="3"/>
        <v>2238703.4979242114</v>
      </c>
      <c r="J93" t="s">
        <v>457</v>
      </c>
      <c r="K93" t="s">
        <v>365</v>
      </c>
    </row>
    <row r="94" spans="1:11" hidden="1" outlineLevel="2" x14ac:dyDescent="0.35">
      <c r="A94" t="s">
        <v>138</v>
      </c>
      <c r="B94" t="s">
        <v>492</v>
      </c>
      <c r="C94" t="s">
        <v>140</v>
      </c>
      <c r="F94" t="s">
        <v>135</v>
      </c>
      <c r="G94" s="5">
        <v>19790285.32</v>
      </c>
      <c r="H94">
        <f t="shared" si="2"/>
        <v>0.88331419485911133</v>
      </c>
      <c r="I94" s="5">
        <f t="shared" si="3"/>
        <v>17481039.943467889</v>
      </c>
      <c r="J94" t="s">
        <v>493</v>
      </c>
      <c r="K94" t="s">
        <v>137</v>
      </c>
    </row>
    <row r="95" spans="1:11" hidden="1" outlineLevel="2" x14ac:dyDescent="0.35">
      <c r="A95" t="s">
        <v>138</v>
      </c>
      <c r="B95" t="s">
        <v>508</v>
      </c>
      <c r="C95" t="s">
        <v>140</v>
      </c>
      <c r="F95" t="s">
        <v>135</v>
      </c>
      <c r="G95" s="5">
        <v>908193.33</v>
      </c>
      <c r="H95">
        <f t="shared" si="2"/>
        <v>0.88331419485911133</v>
      </c>
      <c r="I95" s="5">
        <f t="shared" si="3"/>
        <v>802220.06006536516</v>
      </c>
      <c r="J95" t="s">
        <v>509</v>
      </c>
      <c r="K95" t="s">
        <v>133</v>
      </c>
    </row>
    <row r="96" spans="1:11" hidden="1" outlineLevel="2" x14ac:dyDescent="0.35">
      <c r="A96" t="s">
        <v>138</v>
      </c>
      <c r="B96" t="s">
        <v>540</v>
      </c>
      <c r="C96" t="s">
        <v>140</v>
      </c>
      <c r="F96" t="s">
        <v>135</v>
      </c>
      <c r="G96" s="5">
        <v>1046802.1</v>
      </c>
      <c r="H96">
        <f t="shared" si="2"/>
        <v>0.88331419485911133</v>
      </c>
      <c r="I96" s="5">
        <f t="shared" si="3"/>
        <v>924655.15413832688</v>
      </c>
      <c r="J96" t="s">
        <v>541</v>
      </c>
      <c r="K96" t="s">
        <v>536</v>
      </c>
    </row>
    <row r="97" spans="1:11" hidden="1" outlineLevel="2" x14ac:dyDescent="0.35">
      <c r="A97" t="s">
        <v>138</v>
      </c>
      <c r="B97" t="s">
        <v>554</v>
      </c>
      <c r="C97" t="s">
        <v>140</v>
      </c>
      <c r="F97" t="s">
        <v>135</v>
      </c>
      <c r="G97" s="5">
        <v>2063576.45</v>
      </c>
      <c r="H97">
        <f t="shared" si="2"/>
        <v>0.88331419485911133</v>
      </c>
      <c r="I97" s="5">
        <f t="shared" si="3"/>
        <v>1822786.3704619731</v>
      </c>
      <c r="J97" t="s">
        <v>555</v>
      </c>
      <c r="K97" t="s">
        <v>427</v>
      </c>
    </row>
    <row r="98" spans="1:11" outlineLevel="1" collapsed="1" x14ac:dyDescent="0.35">
      <c r="A98" s="2" t="s">
        <v>575</v>
      </c>
      <c r="I98" s="5">
        <f>SUBTOTAL(9,I86:I97)</f>
        <v>44422284.630333006</v>
      </c>
    </row>
    <row r="99" spans="1:11" hidden="1" outlineLevel="2" x14ac:dyDescent="0.35">
      <c r="A99" t="s">
        <v>199</v>
      </c>
      <c r="B99" t="s">
        <v>200</v>
      </c>
      <c r="C99" t="s">
        <v>201</v>
      </c>
      <c r="F99" t="s">
        <v>202</v>
      </c>
      <c r="G99" s="5">
        <v>1098269.81</v>
      </c>
      <c r="H99">
        <f t="shared" si="2"/>
        <v>4.5747537638786591E-2</v>
      </c>
      <c r="I99" s="5">
        <f t="shared" si="3"/>
        <v>50243.139470517999</v>
      </c>
      <c r="J99" t="s">
        <v>203</v>
      </c>
      <c r="K99" t="s">
        <v>168</v>
      </c>
    </row>
    <row r="100" spans="1:11" hidden="1" outlineLevel="2" x14ac:dyDescent="0.35">
      <c r="A100" t="s">
        <v>199</v>
      </c>
      <c r="B100" t="s">
        <v>264</v>
      </c>
      <c r="C100" t="s">
        <v>201</v>
      </c>
      <c r="F100" t="s">
        <v>202</v>
      </c>
      <c r="G100" s="5">
        <v>361100.7</v>
      </c>
      <c r="H100">
        <f t="shared" si="2"/>
        <v>4.5747537638786591E-2</v>
      </c>
      <c r="I100" s="5">
        <f t="shared" si="3"/>
        <v>16519.467864642185</v>
      </c>
      <c r="J100" t="s">
        <v>265</v>
      </c>
      <c r="K100" t="s">
        <v>157</v>
      </c>
    </row>
    <row r="101" spans="1:11" outlineLevel="1" collapsed="1" x14ac:dyDescent="0.35">
      <c r="A101" s="2" t="s">
        <v>576</v>
      </c>
      <c r="I101" s="5">
        <f>SUBTOTAL(9,I99:I100)</f>
        <v>66762.607335160181</v>
      </c>
    </row>
    <row r="102" spans="1:11" hidden="1" outlineLevel="2" x14ac:dyDescent="0.35">
      <c r="A102" t="s">
        <v>143</v>
      </c>
      <c r="B102" t="s">
        <v>144</v>
      </c>
      <c r="C102" t="s">
        <v>145</v>
      </c>
      <c r="F102" t="s">
        <v>135</v>
      </c>
      <c r="G102" s="5">
        <v>4439769.5199999996</v>
      </c>
      <c r="H102">
        <f t="shared" si="2"/>
        <v>0.88331419485911133</v>
      </c>
      <c r="I102" s="5">
        <f t="shared" si="3"/>
        <v>3921711.4389188229</v>
      </c>
      <c r="J102" t="s">
        <v>146</v>
      </c>
      <c r="K102" t="s">
        <v>137</v>
      </c>
    </row>
    <row r="103" spans="1:11" hidden="1" outlineLevel="2" x14ac:dyDescent="0.35">
      <c r="A103" t="s">
        <v>143</v>
      </c>
      <c r="B103" t="s">
        <v>161</v>
      </c>
      <c r="C103" t="s">
        <v>145</v>
      </c>
      <c r="F103" t="s">
        <v>135</v>
      </c>
      <c r="G103" s="5">
        <v>14414788.789999999</v>
      </c>
      <c r="H103">
        <f t="shared" si="2"/>
        <v>0.88331419485911133</v>
      </c>
      <c r="I103" s="5">
        <f t="shared" si="3"/>
        <v>12732787.554102993</v>
      </c>
      <c r="J103" t="s">
        <v>162</v>
      </c>
      <c r="K103" t="s">
        <v>163</v>
      </c>
    </row>
    <row r="104" spans="1:11" hidden="1" outlineLevel="2" x14ac:dyDescent="0.35">
      <c r="A104" t="s">
        <v>143</v>
      </c>
      <c r="B104" t="s">
        <v>266</v>
      </c>
      <c r="C104" t="s">
        <v>145</v>
      </c>
      <c r="F104" t="s">
        <v>135</v>
      </c>
      <c r="G104" s="5">
        <v>5197037.47</v>
      </c>
      <c r="H104">
        <f t="shared" si="2"/>
        <v>0.88331419485911133</v>
      </c>
      <c r="I104" s="5">
        <f t="shared" si="3"/>
        <v>4590616.9684656831</v>
      </c>
      <c r="J104" t="s">
        <v>267</v>
      </c>
      <c r="K104" t="s">
        <v>268</v>
      </c>
    </row>
    <row r="105" spans="1:11" hidden="1" outlineLevel="2" x14ac:dyDescent="0.35">
      <c r="A105" t="s">
        <v>143</v>
      </c>
      <c r="B105" t="s">
        <v>425</v>
      </c>
      <c r="C105" t="s">
        <v>145</v>
      </c>
      <c r="F105" t="s">
        <v>135</v>
      </c>
      <c r="G105" s="5">
        <v>8028156.9900000002</v>
      </c>
      <c r="H105">
        <f t="shared" si="2"/>
        <v>0.88331419485911133</v>
      </c>
      <c r="I105" s="5">
        <f t="shared" si="3"/>
        <v>7091385.0278243972</v>
      </c>
      <c r="J105" t="s">
        <v>426</v>
      </c>
      <c r="K105" t="s">
        <v>427</v>
      </c>
    </row>
    <row r="106" spans="1:11" hidden="1" outlineLevel="2" x14ac:dyDescent="0.35">
      <c r="A106" t="s">
        <v>143</v>
      </c>
      <c r="B106" t="s">
        <v>438</v>
      </c>
      <c r="C106" t="s">
        <v>145</v>
      </c>
      <c r="F106" t="s">
        <v>135</v>
      </c>
      <c r="G106" s="5">
        <v>19974512.93</v>
      </c>
      <c r="H106">
        <f t="shared" si="2"/>
        <v>0.88331419485911133</v>
      </c>
      <c r="I106" s="5">
        <f t="shared" si="3"/>
        <v>17643770.80646586</v>
      </c>
      <c r="J106" t="s">
        <v>439</v>
      </c>
      <c r="K106" t="s">
        <v>440</v>
      </c>
    </row>
    <row r="107" spans="1:11" hidden="1" outlineLevel="2" x14ac:dyDescent="0.35">
      <c r="A107" t="s">
        <v>143</v>
      </c>
      <c r="B107" t="s">
        <v>458</v>
      </c>
      <c r="C107" t="s">
        <v>145</v>
      </c>
      <c r="F107" t="s">
        <v>135</v>
      </c>
      <c r="G107" s="5">
        <v>9513707.0099999998</v>
      </c>
      <c r="H107">
        <f t="shared" si="2"/>
        <v>0.88331419485911133</v>
      </c>
      <c r="I107" s="5">
        <f t="shared" si="3"/>
        <v>8403592.4476636332</v>
      </c>
      <c r="J107" t="s">
        <v>459</v>
      </c>
      <c r="K107" t="s">
        <v>460</v>
      </c>
    </row>
    <row r="108" spans="1:11" hidden="1" outlineLevel="2" x14ac:dyDescent="0.35">
      <c r="A108" t="s">
        <v>143</v>
      </c>
      <c r="B108" t="s">
        <v>463</v>
      </c>
      <c r="C108" t="s">
        <v>145</v>
      </c>
      <c r="F108" t="s">
        <v>135</v>
      </c>
      <c r="G108" s="5">
        <v>3406607.38</v>
      </c>
      <c r="H108">
        <f t="shared" si="2"/>
        <v>0.88331419485911133</v>
      </c>
      <c r="I108" s="5">
        <f t="shared" si="3"/>
        <v>3009104.6550658066</v>
      </c>
      <c r="J108" t="s">
        <v>464</v>
      </c>
      <c r="K108" t="s">
        <v>465</v>
      </c>
    </row>
    <row r="109" spans="1:11" hidden="1" outlineLevel="2" x14ac:dyDescent="0.35">
      <c r="A109" t="s">
        <v>143</v>
      </c>
      <c r="B109" t="s">
        <v>477</v>
      </c>
      <c r="C109" t="s">
        <v>145</v>
      </c>
      <c r="F109" t="s">
        <v>135</v>
      </c>
      <c r="G109" s="5">
        <v>39208.629999999997</v>
      </c>
      <c r="H109">
        <f t="shared" si="2"/>
        <v>0.88331419485911133</v>
      </c>
      <c r="I109" s="5">
        <f t="shared" si="3"/>
        <v>34633.539439978798</v>
      </c>
      <c r="J109" t="s">
        <v>478</v>
      </c>
      <c r="K109" t="s">
        <v>45</v>
      </c>
    </row>
    <row r="110" spans="1:11" hidden="1" outlineLevel="2" x14ac:dyDescent="0.35">
      <c r="A110" t="s">
        <v>143</v>
      </c>
      <c r="B110" t="s">
        <v>494</v>
      </c>
      <c r="C110" t="s">
        <v>145</v>
      </c>
      <c r="F110" t="s">
        <v>135</v>
      </c>
      <c r="G110" s="5">
        <v>27372125.219999999</v>
      </c>
      <c r="H110">
        <f t="shared" si="2"/>
        <v>0.88331419485911133</v>
      </c>
      <c r="I110" s="5">
        <f t="shared" si="3"/>
        <v>24178186.750287075</v>
      </c>
      <c r="J110" t="s">
        <v>495</v>
      </c>
      <c r="K110" t="s">
        <v>137</v>
      </c>
    </row>
    <row r="111" spans="1:11" hidden="1" outlineLevel="2" x14ac:dyDescent="0.35">
      <c r="A111" t="s">
        <v>143</v>
      </c>
      <c r="B111" t="s">
        <v>510</v>
      </c>
      <c r="C111" t="s">
        <v>145</v>
      </c>
      <c r="F111" t="s">
        <v>135</v>
      </c>
      <c r="G111" s="5">
        <v>1196347.3600000001</v>
      </c>
      <c r="H111">
        <f t="shared" si="2"/>
        <v>0.88331419485911133</v>
      </c>
      <c r="I111" s="5">
        <f t="shared" si="3"/>
        <v>1056750.6050702236</v>
      </c>
      <c r="J111" t="s">
        <v>511</v>
      </c>
      <c r="K111" t="s">
        <v>316</v>
      </c>
    </row>
    <row r="112" spans="1:11" hidden="1" outlineLevel="2" x14ac:dyDescent="0.35">
      <c r="A112" t="s">
        <v>143</v>
      </c>
      <c r="B112" t="s">
        <v>542</v>
      </c>
      <c r="C112" t="s">
        <v>145</v>
      </c>
      <c r="F112" t="s">
        <v>135</v>
      </c>
      <c r="G112" s="5">
        <v>1207310.3</v>
      </c>
      <c r="H112">
        <f t="shared" si="2"/>
        <v>0.88331419485911133</v>
      </c>
      <c r="I112" s="5">
        <f t="shared" si="3"/>
        <v>1066434.3255896121</v>
      </c>
      <c r="J112" t="s">
        <v>543</v>
      </c>
      <c r="K112" t="s">
        <v>536</v>
      </c>
    </row>
    <row r="113" spans="1:11" hidden="1" outlineLevel="2" x14ac:dyDescent="0.35">
      <c r="A113" t="s">
        <v>143</v>
      </c>
      <c r="B113" t="s">
        <v>556</v>
      </c>
      <c r="C113" t="s">
        <v>145</v>
      </c>
      <c r="F113" t="s">
        <v>135</v>
      </c>
      <c r="G113" s="5">
        <v>2398908.56</v>
      </c>
      <c r="H113">
        <f t="shared" si="2"/>
        <v>0.88331419485911133</v>
      </c>
      <c r="I113" s="5">
        <f t="shared" si="3"/>
        <v>2118989.9832170303</v>
      </c>
      <c r="J113" t="s">
        <v>557</v>
      </c>
      <c r="K113" t="s">
        <v>427</v>
      </c>
    </row>
    <row r="114" spans="1:11" outlineLevel="1" collapsed="1" x14ac:dyDescent="0.35">
      <c r="A114" s="2" t="s">
        <v>577</v>
      </c>
      <c r="I114" s="5">
        <f>SUBTOTAL(9,I102:I113)</f>
        <v>85847964.102111101</v>
      </c>
    </row>
    <row r="115" spans="1:11" hidden="1" outlineLevel="2" x14ac:dyDescent="0.35">
      <c r="A115" t="s">
        <v>89</v>
      </c>
      <c r="B115" t="s">
        <v>90</v>
      </c>
      <c r="C115" t="s">
        <v>91</v>
      </c>
      <c r="F115" t="s">
        <v>14</v>
      </c>
      <c r="G115" s="5">
        <v>730267.24</v>
      </c>
      <c r="H115">
        <f t="shared" si="2"/>
        <v>1</v>
      </c>
      <c r="I115" s="5">
        <f t="shared" si="3"/>
        <v>730267.24</v>
      </c>
      <c r="J115" t="s">
        <v>92</v>
      </c>
      <c r="K115" t="s">
        <v>93</v>
      </c>
    </row>
    <row r="116" spans="1:11" hidden="1" outlineLevel="2" x14ac:dyDescent="0.35">
      <c r="A116" t="s">
        <v>89</v>
      </c>
      <c r="B116" t="s">
        <v>108</v>
      </c>
      <c r="C116" t="s">
        <v>91</v>
      </c>
      <c r="F116" t="s">
        <v>14</v>
      </c>
      <c r="G116" s="5">
        <v>1348040.34</v>
      </c>
      <c r="H116">
        <f t="shared" si="2"/>
        <v>1</v>
      </c>
      <c r="I116" s="5">
        <f t="shared" si="3"/>
        <v>1348040.34</v>
      </c>
      <c r="J116" t="s">
        <v>109</v>
      </c>
      <c r="K116" t="s">
        <v>110</v>
      </c>
    </row>
    <row r="117" spans="1:11" hidden="1" outlineLevel="2" x14ac:dyDescent="0.35">
      <c r="A117" t="s">
        <v>89</v>
      </c>
      <c r="B117" t="s">
        <v>129</v>
      </c>
      <c r="C117" t="s">
        <v>91</v>
      </c>
      <c r="F117" t="s">
        <v>14</v>
      </c>
      <c r="G117" s="5">
        <v>916036.1</v>
      </c>
      <c r="H117">
        <f t="shared" si="2"/>
        <v>1</v>
      </c>
      <c r="I117" s="5">
        <f t="shared" si="3"/>
        <v>916036.1</v>
      </c>
      <c r="J117" t="s">
        <v>130</v>
      </c>
      <c r="K117" t="s">
        <v>63</v>
      </c>
    </row>
    <row r="118" spans="1:11" hidden="1" outlineLevel="2" x14ac:dyDescent="0.35">
      <c r="A118" t="s">
        <v>89</v>
      </c>
      <c r="B118" t="s">
        <v>220</v>
      </c>
      <c r="C118" t="s">
        <v>91</v>
      </c>
      <c r="F118" t="s">
        <v>14</v>
      </c>
      <c r="G118" s="5">
        <v>139960.01999999999</v>
      </c>
      <c r="H118">
        <f t="shared" si="2"/>
        <v>1</v>
      </c>
      <c r="I118" s="5">
        <f t="shared" si="3"/>
        <v>139960.01999999999</v>
      </c>
      <c r="J118" t="s">
        <v>221</v>
      </c>
      <c r="K118" t="s">
        <v>30</v>
      </c>
    </row>
    <row r="119" spans="1:11" hidden="1" outlineLevel="2" x14ac:dyDescent="0.35">
      <c r="A119" t="s">
        <v>89</v>
      </c>
      <c r="B119" t="s">
        <v>257</v>
      </c>
      <c r="C119" t="s">
        <v>91</v>
      </c>
      <c r="F119" t="s">
        <v>14</v>
      </c>
      <c r="G119" s="5">
        <v>1462613.44</v>
      </c>
      <c r="H119">
        <f t="shared" si="2"/>
        <v>1</v>
      </c>
      <c r="I119" s="5">
        <f t="shared" si="3"/>
        <v>1462613.44</v>
      </c>
      <c r="J119" t="s">
        <v>258</v>
      </c>
      <c r="K119" t="s">
        <v>259</v>
      </c>
    </row>
    <row r="120" spans="1:11" hidden="1" outlineLevel="2" x14ac:dyDescent="0.35">
      <c r="A120" t="s">
        <v>89</v>
      </c>
      <c r="B120" t="s">
        <v>317</v>
      </c>
      <c r="C120" t="s">
        <v>318</v>
      </c>
      <c r="D120" t="s">
        <v>60</v>
      </c>
      <c r="E120" t="s">
        <v>319</v>
      </c>
      <c r="F120" t="s">
        <v>14</v>
      </c>
      <c r="G120" s="5">
        <v>3197120</v>
      </c>
      <c r="H120">
        <f t="shared" si="2"/>
        <v>1</v>
      </c>
      <c r="I120" s="5">
        <f t="shared" si="3"/>
        <v>3197120</v>
      </c>
      <c r="J120" t="s">
        <v>320</v>
      </c>
      <c r="K120" t="s">
        <v>16</v>
      </c>
    </row>
    <row r="121" spans="1:11" hidden="1" outlineLevel="2" x14ac:dyDescent="0.35">
      <c r="A121" t="s">
        <v>89</v>
      </c>
      <c r="B121" t="s">
        <v>357</v>
      </c>
      <c r="C121" t="s">
        <v>318</v>
      </c>
      <c r="D121" t="s">
        <v>60</v>
      </c>
      <c r="E121" t="s">
        <v>319</v>
      </c>
      <c r="F121" t="s">
        <v>14</v>
      </c>
      <c r="G121" s="5">
        <v>4196220</v>
      </c>
      <c r="H121">
        <f t="shared" si="2"/>
        <v>1</v>
      </c>
      <c r="I121" s="5">
        <f t="shared" si="3"/>
        <v>4196220</v>
      </c>
      <c r="J121" t="s">
        <v>358</v>
      </c>
      <c r="K121" t="s">
        <v>168</v>
      </c>
    </row>
    <row r="122" spans="1:11" hidden="1" outlineLevel="2" x14ac:dyDescent="0.35">
      <c r="A122" t="s">
        <v>89</v>
      </c>
      <c r="B122" t="s">
        <v>32</v>
      </c>
      <c r="C122" t="s">
        <v>318</v>
      </c>
      <c r="D122" t="s">
        <v>375</v>
      </c>
      <c r="E122" t="s">
        <v>376</v>
      </c>
      <c r="F122" t="s">
        <v>14</v>
      </c>
      <c r="G122" s="5">
        <v>1039205</v>
      </c>
      <c r="H122">
        <f t="shared" si="2"/>
        <v>1</v>
      </c>
      <c r="I122" s="5">
        <f t="shared" si="3"/>
        <v>1039205</v>
      </c>
      <c r="J122" t="s">
        <v>377</v>
      </c>
      <c r="K122" t="s">
        <v>103</v>
      </c>
    </row>
    <row r="123" spans="1:11" hidden="1" outlineLevel="2" x14ac:dyDescent="0.35">
      <c r="A123" t="s">
        <v>89</v>
      </c>
      <c r="B123" t="s">
        <v>386</v>
      </c>
      <c r="C123" t="s">
        <v>91</v>
      </c>
      <c r="F123" t="s">
        <v>14</v>
      </c>
      <c r="G123" s="5">
        <v>3654923.96</v>
      </c>
      <c r="H123">
        <f t="shared" si="2"/>
        <v>1</v>
      </c>
      <c r="I123" s="5">
        <f t="shared" si="3"/>
        <v>3654923.96</v>
      </c>
      <c r="J123" t="s">
        <v>387</v>
      </c>
      <c r="K123" t="s">
        <v>388</v>
      </c>
    </row>
    <row r="124" spans="1:11" hidden="1" outlineLevel="2" x14ac:dyDescent="0.35">
      <c r="A124" t="s">
        <v>89</v>
      </c>
      <c r="B124" t="s">
        <v>402</v>
      </c>
      <c r="C124" t="s">
        <v>91</v>
      </c>
      <c r="F124" t="s">
        <v>14</v>
      </c>
      <c r="G124" s="5">
        <v>873931.8</v>
      </c>
      <c r="H124">
        <f t="shared" si="2"/>
        <v>1</v>
      </c>
      <c r="I124" s="5">
        <f t="shared" si="3"/>
        <v>873931.8</v>
      </c>
      <c r="J124" t="s">
        <v>403</v>
      </c>
      <c r="K124" t="s">
        <v>404</v>
      </c>
    </row>
    <row r="125" spans="1:11" hidden="1" outlineLevel="2" x14ac:dyDescent="0.35">
      <c r="A125" t="s">
        <v>89</v>
      </c>
      <c r="B125" t="s">
        <v>454</v>
      </c>
      <c r="C125" t="s">
        <v>91</v>
      </c>
      <c r="F125" t="s">
        <v>14</v>
      </c>
      <c r="G125" s="5">
        <v>5719325.6399999997</v>
      </c>
      <c r="H125">
        <f t="shared" si="2"/>
        <v>1</v>
      </c>
      <c r="I125" s="5">
        <f t="shared" si="3"/>
        <v>5719325.6399999997</v>
      </c>
      <c r="J125" t="s">
        <v>455</v>
      </c>
      <c r="K125" t="s">
        <v>268</v>
      </c>
    </row>
    <row r="126" spans="1:11" hidden="1" outlineLevel="2" x14ac:dyDescent="0.35">
      <c r="A126" t="s">
        <v>89</v>
      </c>
      <c r="B126" t="s">
        <v>27</v>
      </c>
      <c r="C126" t="s">
        <v>318</v>
      </c>
      <c r="D126" t="s">
        <v>60</v>
      </c>
      <c r="E126" t="s">
        <v>319</v>
      </c>
      <c r="F126" t="s">
        <v>14</v>
      </c>
      <c r="G126" s="5">
        <v>98380</v>
      </c>
      <c r="H126">
        <f t="shared" si="2"/>
        <v>1</v>
      </c>
      <c r="I126" s="5">
        <f t="shared" si="3"/>
        <v>98380</v>
      </c>
      <c r="J126" t="s">
        <v>483</v>
      </c>
      <c r="K126" t="s">
        <v>234</v>
      </c>
    </row>
    <row r="127" spans="1:11" hidden="1" outlineLevel="2" x14ac:dyDescent="0.35">
      <c r="A127" t="s">
        <v>89</v>
      </c>
      <c r="B127" t="s">
        <v>490</v>
      </c>
      <c r="C127" t="s">
        <v>318</v>
      </c>
      <c r="D127" t="s">
        <v>60</v>
      </c>
      <c r="E127" t="s">
        <v>319</v>
      </c>
      <c r="F127" t="s">
        <v>14</v>
      </c>
      <c r="G127" s="5">
        <v>6495730</v>
      </c>
      <c r="H127">
        <f t="shared" si="2"/>
        <v>1</v>
      </c>
      <c r="I127" s="5">
        <f t="shared" si="3"/>
        <v>6495730</v>
      </c>
      <c r="J127" t="s">
        <v>491</v>
      </c>
      <c r="K127" t="s">
        <v>137</v>
      </c>
    </row>
    <row r="128" spans="1:11" hidden="1" outlineLevel="2" x14ac:dyDescent="0.35">
      <c r="A128" t="s">
        <v>89</v>
      </c>
      <c r="B128" t="s">
        <v>522</v>
      </c>
      <c r="C128" t="s">
        <v>318</v>
      </c>
      <c r="D128" t="s">
        <v>375</v>
      </c>
      <c r="E128" t="s">
        <v>376</v>
      </c>
      <c r="F128" t="s">
        <v>14</v>
      </c>
      <c r="G128" s="5">
        <v>5745560</v>
      </c>
      <c r="H128">
        <f t="shared" si="2"/>
        <v>1</v>
      </c>
      <c r="I128" s="5">
        <f t="shared" si="3"/>
        <v>5745560</v>
      </c>
      <c r="J128" t="s">
        <v>523</v>
      </c>
      <c r="K128" t="s">
        <v>524</v>
      </c>
    </row>
    <row r="129" spans="1:11" hidden="1" outlineLevel="2" x14ac:dyDescent="0.35">
      <c r="A129" t="s">
        <v>89</v>
      </c>
      <c r="B129" t="s">
        <v>528</v>
      </c>
      <c r="C129" t="s">
        <v>318</v>
      </c>
      <c r="D129" t="s">
        <v>60</v>
      </c>
      <c r="E129" t="s">
        <v>319</v>
      </c>
      <c r="F129" t="s">
        <v>14</v>
      </c>
      <c r="G129" s="5">
        <v>9688320</v>
      </c>
      <c r="H129">
        <f t="shared" si="2"/>
        <v>1</v>
      </c>
      <c r="I129" s="5">
        <f t="shared" si="3"/>
        <v>9688320</v>
      </c>
      <c r="J129" t="s">
        <v>529</v>
      </c>
      <c r="K129" t="s">
        <v>530</v>
      </c>
    </row>
    <row r="130" spans="1:11" hidden="1" outlineLevel="2" x14ac:dyDescent="0.35">
      <c r="A130" t="s">
        <v>89</v>
      </c>
      <c r="B130" t="s">
        <v>560</v>
      </c>
      <c r="C130" t="s">
        <v>91</v>
      </c>
      <c r="F130" t="s">
        <v>14</v>
      </c>
      <c r="G130" s="5">
        <v>1019795.82</v>
      </c>
      <c r="H130">
        <f t="shared" si="2"/>
        <v>1</v>
      </c>
      <c r="I130" s="5">
        <f t="shared" si="3"/>
        <v>1019795.82</v>
      </c>
      <c r="J130" t="s">
        <v>561</v>
      </c>
      <c r="K130" t="s">
        <v>168</v>
      </c>
    </row>
    <row r="131" spans="1:11" outlineLevel="1" collapsed="1" x14ac:dyDescent="0.35">
      <c r="A131" s="2" t="s">
        <v>578</v>
      </c>
      <c r="I131" s="5">
        <f>SUBTOTAL(9,I115:I130)</f>
        <v>46325429.360000007</v>
      </c>
    </row>
    <row r="132" spans="1:11" hidden="1" outlineLevel="2" x14ac:dyDescent="0.35">
      <c r="A132" t="s">
        <v>378</v>
      </c>
      <c r="B132" t="s">
        <v>17</v>
      </c>
      <c r="C132" t="s">
        <v>379</v>
      </c>
      <c r="D132" t="s">
        <v>380</v>
      </c>
      <c r="E132" t="s">
        <v>381</v>
      </c>
      <c r="F132" t="s">
        <v>14</v>
      </c>
      <c r="G132" s="5">
        <v>459000</v>
      </c>
      <c r="H132">
        <f t="shared" si="2"/>
        <v>1</v>
      </c>
      <c r="I132" s="5">
        <f t="shared" si="3"/>
        <v>459000</v>
      </c>
      <c r="J132" t="s">
        <v>382</v>
      </c>
      <c r="K132" t="s">
        <v>383</v>
      </c>
    </row>
    <row r="133" spans="1:11" hidden="1" outlineLevel="2" x14ac:dyDescent="0.35">
      <c r="A133" t="s">
        <v>378</v>
      </c>
      <c r="B133" t="s">
        <v>384</v>
      </c>
      <c r="C133" t="s">
        <v>379</v>
      </c>
      <c r="D133" t="s">
        <v>380</v>
      </c>
      <c r="E133" t="s">
        <v>381</v>
      </c>
      <c r="F133" t="s">
        <v>14</v>
      </c>
      <c r="G133" s="5">
        <v>1276800</v>
      </c>
      <c r="H133">
        <f t="shared" si="2"/>
        <v>1</v>
      </c>
      <c r="I133" s="5">
        <f t="shared" si="3"/>
        <v>1276800</v>
      </c>
      <c r="J133" t="s">
        <v>385</v>
      </c>
      <c r="K133" t="s">
        <v>45</v>
      </c>
    </row>
    <row r="134" spans="1:11" hidden="1" outlineLevel="2" x14ac:dyDescent="0.35">
      <c r="A134" t="s">
        <v>378</v>
      </c>
      <c r="B134" t="s">
        <v>32</v>
      </c>
      <c r="C134" t="s">
        <v>379</v>
      </c>
      <c r="D134" t="s">
        <v>380</v>
      </c>
      <c r="E134" t="s">
        <v>381</v>
      </c>
      <c r="F134" t="s">
        <v>14</v>
      </c>
      <c r="G134" s="5">
        <v>917000</v>
      </c>
      <c r="H134">
        <f t="shared" si="2"/>
        <v>1</v>
      </c>
      <c r="I134" s="5">
        <f t="shared" si="3"/>
        <v>917000</v>
      </c>
      <c r="J134" t="s">
        <v>470</v>
      </c>
      <c r="K134" t="s">
        <v>42</v>
      </c>
    </row>
    <row r="135" spans="1:11" outlineLevel="1" collapsed="1" x14ac:dyDescent="0.35">
      <c r="A135" s="2" t="s">
        <v>579</v>
      </c>
      <c r="I135" s="5">
        <f>SUBTOTAL(9,I132:I134)</f>
        <v>2652800</v>
      </c>
    </row>
    <row r="136" spans="1:11" hidden="1" outlineLevel="2" x14ac:dyDescent="0.35">
      <c r="A136" t="s">
        <v>171</v>
      </c>
      <c r="B136" t="s">
        <v>172</v>
      </c>
      <c r="C136" t="s">
        <v>173</v>
      </c>
      <c r="F136" t="s">
        <v>135</v>
      </c>
      <c r="G136" s="5">
        <v>1173908.81</v>
      </c>
      <c r="H136">
        <f t="shared" si="2"/>
        <v>0.88331419485911133</v>
      </c>
      <c r="I136" s="5">
        <f t="shared" si="3"/>
        <v>1036930.3153431675</v>
      </c>
      <c r="J136" t="s">
        <v>174</v>
      </c>
      <c r="K136" t="s">
        <v>175</v>
      </c>
    </row>
    <row r="137" spans="1:11" outlineLevel="1" collapsed="1" x14ac:dyDescent="0.35">
      <c r="A137" s="2" t="s">
        <v>580</v>
      </c>
      <c r="I137" s="5">
        <f>SUBTOTAL(9,I136:I136)</f>
        <v>1036930.3153431675</v>
      </c>
    </row>
    <row r="138" spans="1:11" hidden="1" outlineLevel="2" x14ac:dyDescent="0.3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14</v>
      </c>
      <c r="G138" s="5">
        <v>208707.74</v>
      </c>
      <c r="H138">
        <f t="shared" si="2"/>
        <v>1</v>
      </c>
      <c r="I138" s="5">
        <f t="shared" si="3"/>
        <v>208707.74</v>
      </c>
      <c r="J138" t="s">
        <v>51</v>
      </c>
      <c r="K138" t="s">
        <v>52</v>
      </c>
    </row>
    <row r="139" spans="1:11" hidden="1" outlineLevel="2" x14ac:dyDescent="0.35">
      <c r="A139" t="s">
        <v>46</v>
      </c>
      <c r="B139" t="s">
        <v>78</v>
      </c>
      <c r="C139" t="s">
        <v>48</v>
      </c>
      <c r="F139" t="s">
        <v>14</v>
      </c>
      <c r="G139" s="5">
        <v>424592.12</v>
      </c>
      <c r="H139">
        <f t="shared" si="2"/>
        <v>1</v>
      </c>
      <c r="I139" s="5">
        <f t="shared" si="3"/>
        <v>424592.12</v>
      </c>
      <c r="J139" t="s">
        <v>79</v>
      </c>
      <c r="K139" t="s">
        <v>80</v>
      </c>
    </row>
    <row r="140" spans="1:11" hidden="1" outlineLevel="2" x14ac:dyDescent="0.35">
      <c r="A140" t="s">
        <v>46</v>
      </c>
      <c r="B140" t="s">
        <v>101</v>
      </c>
      <c r="C140" t="s">
        <v>48</v>
      </c>
      <c r="F140" t="s">
        <v>14</v>
      </c>
      <c r="G140" s="5">
        <v>435151.04</v>
      </c>
      <c r="H140">
        <f t="shared" si="2"/>
        <v>1</v>
      </c>
      <c r="I140" s="5">
        <f t="shared" si="3"/>
        <v>435151.04</v>
      </c>
      <c r="J140" t="s">
        <v>102</v>
      </c>
      <c r="K140" t="s">
        <v>103</v>
      </c>
    </row>
    <row r="141" spans="1:11" hidden="1" outlineLevel="2" x14ac:dyDescent="0.35">
      <c r="A141" t="s">
        <v>46</v>
      </c>
      <c r="B141" t="s">
        <v>123</v>
      </c>
      <c r="C141" t="s">
        <v>48</v>
      </c>
      <c r="F141" t="s">
        <v>14</v>
      </c>
      <c r="G141" s="5">
        <v>459440.03</v>
      </c>
      <c r="H141">
        <f t="shared" si="2"/>
        <v>1</v>
      </c>
      <c r="I141" s="5">
        <f t="shared" si="3"/>
        <v>459440.03</v>
      </c>
      <c r="J141" t="s">
        <v>124</v>
      </c>
      <c r="K141" t="s">
        <v>103</v>
      </c>
    </row>
    <row r="142" spans="1:11" hidden="1" outlineLevel="2" x14ac:dyDescent="0.35">
      <c r="A142" t="s">
        <v>46</v>
      </c>
      <c r="B142" t="s">
        <v>222</v>
      </c>
      <c r="C142" t="s">
        <v>48</v>
      </c>
      <c r="F142" t="s">
        <v>14</v>
      </c>
      <c r="G142" s="5">
        <v>105124.99</v>
      </c>
      <c r="H142">
        <f t="shared" si="2"/>
        <v>1</v>
      </c>
      <c r="I142" s="5">
        <f t="shared" si="3"/>
        <v>105124.99</v>
      </c>
      <c r="J142" t="s">
        <v>223</v>
      </c>
      <c r="K142" t="s">
        <v>30</v>
      </c>
    </row>
    <row r="143" spans="1:11" hidden="1" outlineLevel="2" x14ac:dyDescent="0.35">
      <c r="A143" t="s">
        <v>46</v>
      </c>
      <c r="B143" t="s">
        <v>59</v>
      </c>
      <c r="C143" t="s">
        <v>48</v>
      </c>
      <c r="D143" t="s">
        <v>251</v>
      </c>
      <c r="E143" t="s">
        <v>252</v>
      </c>
      <c r="F143" t="s">
        <v>14</v>
      </c>
      <c r="G143" s="5">
        <v>375584.57</v>
      </c>
      <c r="H143">
        <f t="shared" si="2"/>
        <v>1</v>
      </c>
      <c r="I143" s="5">
        <f t="shared" si="3"/>
        <v>375584.57</v>
      </c>
      <c r="J143" t="s">
        <v>253</v>
      </c>
      <c r="K143" t="s">
        <v>119</v>
      </c>
    </row>
    <row r="144" spans="1:11" hidden="1" outlineLevel="2" x14ac:dyDescent="0.35">
      <c r="A144" t="s">
        <v>46</v>
      </c>
      <c r="B144" t="s">
        <v>21</v>
      </c>
      <c r="C144" t="s">
        <v>48</v>
      </c>
      <c r="D144" t="s">
        <v>49</v>
      </c>
      <c r="E144" t="s">
        <v>50</v>
      </c>
      <c r="F144" t="s">
        <v>14</v>
      </c>
      <c r="G144" s="5">
        <v>307073.94</v>
      </c>
      <c r="H144">
        <f t="shared" ref="H144:H213" si="4">_xlfn.XLOOKUP(F144, $N$2:$N$12, $O$2:$O$12)</f>
        <v>1</v>
      </c>
      <c r="I144" s="5">
        <f t="shared" ref="I144:I213" si="5">G144*H144</f>
        <v>307073.94</v>
      </c>
      <c r="J144" t="s">
        <v>254</v>
      </c>
      <c r="K144" t="s">
        <v>234</v>
      </c>
    </row>
    <row r="145" spans="1:11" hidden="1" outlineLevel="2" x14ac:dyDescent="0.35">
      <c r="A145" t="s">
        <v>46</v>
      </c>
      <c r="B145" t="s">
        <v>354</v>
      </c>
      <c r="C145" t="s">
        <v>48</v>
      </c>
      <c r="D145" t="s">
        <v>251</v>
      </c>
      <c r="E145" t="s">
        <v>252</v>
      </c>
      <c r="F145" t="s">
        <v>14</v>
      </c>
      <c r="G145" s="5">
        <v>3610080.64</v>
      </c>
      <c r="H145">
        <f t="shared" si="4"/>
        <v>1</v>
      </c>
      <c r="I145" s="5">
        <f t="shared" si="5"/>
        <v>3610080.64</v>
      </c>
      <c r="J145" t="s">
        <v>355</v>
      </c>
      <c r="K145" t="s">
        <v>133</v>
      </c>
    </row>
    <row r="146" spans="1:11" hidden="1" outlineLevel="2" x14ac:dyDescent="0.35">
      <c r="A146" t="s">
        <v>46</v>
      </c>
      <c r="B146" t="s">
        <v>32</v>
      </c>
      <c r="C146" t="s">
        <v>48</v>
      </c>
      <c r="D146" t="s">
        <v>49</v>
      </c>
      <c r="E146" t="s">
        <v>50</v>
      </c>
      <c r="F146" t="s">
        <v>14</v>
      </c>
      <c r="G146" s="5">
        <v>1050150</v>
      </c>
      <c r="H146">
        <f t="shared" si="4"/>
        <v>1</v>
      </c>
      <c r="I146" s="5">
        <f t="shared" si="5"/>
        <v>1050150</v>
      </c>
      <c r="J146" t="s">
        <v>469</v>
      </c>
      <c r="K146" t="s">
        <v>93</v>
      </c>
    </row>
    <row r="147" spans="1:11" hidden="1" outlineLevel="2" x14ac:dyDescent="0.35">
      <c r="A147" t="s">
        <v>46</v>
      </c>
      <c r="B147" t="s">
        <v>472</v>
      </c>
      <c r="C147" t="s">
        <v>48</v>
      </c>
      <c r="D147" t="s">
        <v>49</v>
      </c>
      <c r="E147" t="s">
        <v>50</v>
      </c>
      <c r="F147" t="s">
        <v>14</v>
      </c>
      <c r="G147" s="5">
        <v>2940420</v>
      </c>
      <c r="H147">
        <f t="shared" si="4"/>
        <v>1</v>
      </c>
      <c r="I147" s="5">
        <f t="shared" si="5"/>
        <v>2940420</v>
      </c>
      <c r="J147" t="s">
        <v>473</v>
      </c>
      <c r="K147" t="s">
        <v>474</v>
      </c>
    </row>
    <row r="148" spans="1:11" hidden="1" outlineLevel="2" x14ac:dyDescent="0.35">
      <c r="A148" t="s">
        <v>46</v>
      </c>
      <c r="B148" t="s">
        <v>552</v>
      </c>
      <c r="C148" t="s">
        <v>48</v>
      </c>
      <c r="F148" t="s">
        <v>14</v>
      </c>
      <c r="G148" s="5">
        <v>308158.55</v>
      </c>
      <c r="H148">
        <f t="shared" si="4"/>
        <v>1</v>
      </c>
      <c r="I148" s="5">
        <f t="shared" si="5"/>
        <v>308158.55</v>
      </c>
      <c r="J148" t="s">
        <v>553</v>
      </c>
      <c r="K148" t="s">
        <v>217</v>
      </c>
    </row>
    <row r="149" spans="1:11" outlineLevel="1" collapsed="1" x14ac:dyDescent="0.35">
      <c r="A149" s="2" t="s">
        <v>581</v>
      </c>
      <c r="I149" s="5">
        <f>SUBTOTAL(9,I138:I148)</f>
        <v>10224483.620000001</v>
      </c>
    </row>
    <row r="150" spans="1:11" hidden="1" outlineLevel="2" x14ac:dyDescent="0.35">
      <c r="A150" t="s">
        <v>188</v>
      </c>
      <c r="B150" t="s">
        <v>189</v>
      </c>
      <c r="C150" t="s">
        <v>190</v>
      </c>
      <c r="F150" t="s">
        <v>191</v>
      </c>
      <c r="G150" s="5">
        <v>120243.83</v>
      </c>
      <c r="H150">
        <f t="shared" si="4"/>
        <v>6.4226488288299862E-4</v>
      </c>
      <c r="I150" s="5">
        <f t="shared" si="5"/>
        <v>77.228389392353193</v>
      </c>
      <c r="J150" t="s">
        <v>192</v>
      </c>
      <c r="K150" t="s">
        <v>193</v>
      </c>
    </row>
    <row r="151" spans="1:11" outlineLevel="1" collapsed="1" x14ac:dyDescent="0.35">
      <c r="A151" s="2" t="s">
        <v>582</v>
      </c>
      <c r="I151" s="5">
        <f>SUBTOTAL(9,I150:I150)</f>
        <v>77.228389392353193</v>
      </c>
    </row>
    <row r="152" spans="1:11" hidden="1" outlineLevel="2" x14ac:dyDescent="0.35">
      <c r="A152" t="s">
        <v>194</v>
      </c>
      <c r="B152" t="s">
        <v>195</v>
      </c>
      <c r="C152" t="s">
        <v>196</v>
      </c>
      <c r="F152" t="s">
        <v>197</v>
      </c>
      <c r="G152" s="5">
        <v>586847.39</v>
      </c>
      <c r="H152">
        <f t="shared" si="4"/>
        <v>0.23447346053518567</v>
      </c>
      <c r="I152" s="5">
        <f t="shared" si="5"/>
        <v>137600.13833934171</v>
      </c>
      <c r="J152" t="s">
        <v>198</v>
      </c>
      <c r="K152" t="s">
        <v>157</v>
      </c>
    </row>
    <row r="153" spans="1:11" hidden="1" outlineLevel="2" x14ac:dyDescent="0.35">
      <c r="A153" t="s">
        <v>194</v>
      </c>
      <c r="B153" t="s">
        <v>262</v>
      </c>
      <c r="C153" t="s">
        <v>196</v>
      </c>
      <c r="F153" t="s">
        <v>197</v>
      </c>
      <c r="G153" s="5">
        <v>537599</v>
      </c>
      <c r="H153">
        <f t="shared" si="4"/>
        <v>0.23447346053518567</v>
      </c>
      <c r="I153" s="5">
        <f t="shared" si="5"/>
        <v>126052.69791025529</v>
      </c>
      <c r="J153" t="s">
        <v>263</v>
      </c>
      <c r="K153" t="s">
        <v>26</v>
      </c>
    </row>
    <row r="154" spans="1:11" outlineLevel="1" collapsed="1" x14ac:dyDescent="0.35">
      <c r="A154" s="2" t="s">
        <v>583</v>
      </c>
      <c r="I154" s="5">
        <f>SUBTOTAL(9,I152:I153)</f>
        <v>263652.83624959702</v>
      </c>
    </row>
    <row r="155" spans="1:11" hidden="1" outlineLevel="2" x14ac:dyDescent="0.35">
      <c r="A155" t="s">
        <v>413</v>
      </c>
      <c r="B155" t="s">
        <v>414</v>
      </c>
      <c r="C155" t="s">
        <v>415</v>
      </c>
      <c r="F155" t="s">
        <v>227</v>
      </c>
      <c r="G155" s="5">
        <v>391545.97</v>
      </c>
      <c r="H155">
        <f t="shared" si="4"/>
        <v>0.24863252113376427</v>
      </c>
      <c r="I155" s="5">
        <f t="shared" si="5"/>
        <v>97351.06166086522</v>
      </c>
      <c r="J155" t="s">
        <v>416</v>
      </c>
      <c r="K155" t="s">
        <v>417</v>
      </c>
    </row>
    <row r="156" spans="1:11" outlineLevel="1" collapsed="1" x14ac:dyDescent="0.35">
      <c r="A156" s="2" t="s">
        <v>584</v>
      </c>
      <c r="I156" s="5">
        <f>SUBTOTAL(9,I155:I155)</f>
        <v>97351.06166086522</v>
      </c>
    </row>
    <row r="157" spans="1:11" hidden="1" outlineLevel="2" x14ac:dyDescent="0.35">
      <c r="A157" t="s">
        <v>153</v>
      </c>
      <c r="B157" t="s">
        <v>154</v>
      </c>
      <c r="C157" t="s">
        <v>155</v>
      </c>
      <c r="F157" t="s">
        <v>135</v>
      </c>
      <c r="G157" s="5">
        <v>704300.06</v>
      </c>
      <c r="H157">
        <f t="shared" si="4"/>
        <v>0.88331419485911133</v>
      </c>
      <c r="I157" s="5">
        <f t="shared" si="5"/>
        <v>622118.24043812382</v>
      </c>
      <c r="J157" t="s">
        <v>156</v>
      </c>
      <c r="K157" t="s">
        <v>157</v>
      </c>
    </row>
    <row r="158" spans="1:11" hidden="1" outlineLevel="2" x14ac:dyDescent="0.35">
      <c r="A158" t="s">
        <v>153</v>
      </c>
      <c r="B158" t="s">
        <v>166</v>
      </c>
      <c r="C158" t="s">
        <v>155</v>
      </c>
      <c r="F158" t="s">
        <v>135</v>
      </c>
      <c r="G158" s="5">
        <v>3627818.55</v>
      </c>
      <c r="H158">
        <f t="shared" si="4"/>
        <v>0.88331419485911133</v>
      </c>
      <c r="I158" s="5">
        <f t="shared" si="5"/>
        <v>3204503.6215881985</v>
      </c>
      <c r="J158" t="s">
        <v>167</v>
      </c>
      <c r="K158" t="s">
        <v>168</v>
      </c>
    </row>
    <row r="159" spans="1:11" hidden="1" outlineLevel="2" x14ac:dyDescent="0.35">
      <c r="A159" t="s">
        <v>153</v>
      </c>
      <c r="B159" t="s">
        <v>269</v>
      </c>
      <c r="C159" t="s">
        <v>155</v>
      </c>
      <c r="F159" t="s">
        <v>135</v>
      </c>
      <c r="G159" s="5">
        <v>3265292.5</v>
      </c>
      <c r="H159">
        <f t="shared" si="4"/>
        <v>0.88331419485911133</v>
      </c>
      <c r="I159" s="5">
        <f t="shared" si="5"/>
        <v>2884279.215616995</v>
      </c>
      <c r="J159" t="s">
        <v>270</v>
      </c>
      <c r="K159" t="s">
        <v>271</v>
      </c>
    </row>
    <row r="160" spans="1:11" hidden="1" outlineLevel="2" x14ac:dyDescent="0.35">
      <c r="A160" t="s">
        <v>153</v>
      </c>
      <c r="B160" t="s">
        <v>405</v>
      </c>
      <c r="C160" t="s">
        <v>155</v>
      </c>
      <c r="F160" t="s">
        <v>135</v>
      </c>
      <c r="G160" s="5">
        <v>33139844.73</v>
      </c>
      <c r="H160">
        <f t="shared" si="4"/>
        <v>0.88331419485911133</v>
      </c>
      <c r="I160" s="5">
        <f t="shared" si="5"/>
        <v>29272895.265435915</v>
      </c>
      <c r="J160" t="s">
        <v>406</v>
      </c>
      <c r="K160" t="s">
        <v>407</v>
      </c>
    </row>
    <row r="161" spans="1:11" outlineLevel="1" collapsed="1" x14ac:dyDescent="0.35">
      <c r="A161" s="2" t="s">
        <v>585</v>
      </c>
      <c r="I161" s="5">
        <f>SUBTOTAL(9,I157:I160)</f>
        <v>35983796.343079232</v>
      </c>
    </row>
    <row r="162" spans="1:11" hidden="1" outlineLevel="2" x14ac:dyDescent="0.35">
      <c r="A162" t="s">
        <v>204</v>
      </c>
      <c r="B162" t="s">
        <v>205</v>
      </c>
      <c r="C162" t="s">
        <v>206</v>
      </c>
      <c r="F162" t="s">
        <v>202</v>
      </c>
      <c r="G162" s="5">
        <v>316506.17</v>
      </c>
      <c r="H162">
        <f t="shared" si="4"/>
        <v>4.5747537638786591E-2</v>
      </c>
      <c r="I162" s="5">
        <f t="shared" si="5"/>
        <v>14479.377924983186</v>
      </c>
      <c r="J162" t="s">
        <v>207</v>
      </c>
      <c r="K162" t="s">
        <v>30</v>
      </c>
    </row>
    <row r="163" spans="1:11" outlineLevel="1" collapsed="1" x14ac:dyDescent="0.35">
      <c r="A163" s="2" t="s">
        <v>586</v>
      </c>
      <c r="I163" s="5">
        <f>SUBTOTAL(9,I162:I162)</f>
        <v>14479.377924983186</v>
      </c>
    </row>
    <row r="164" spans="1:11" hidden="1" outlineLevel="2" x14ac:dyDescent="0.35">
      <c r="A164" t="s">
        <v>9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 s="5">
        <v>783522.78</v>
      </c>
      <c r="H164">
        <f t="shared" si="4"/>
        <v>1</v>
      </c>
      <c r="I164" s="5">
        <f t="shared" si="5"/>
        <v>783522.78</v>
      </c>
      <c r="J164" t="s">
        <v>15</v>
      </c>
      <c r="K164" t="s">
        <v>16</v>
      </c>
    </row>
    <row r="165" spans="1:11" hidden="1" outlineLevel="2" x14ac:dyDescent="0.35">
      <c r="A165" t="s">
        <v>9</v>
      </c>
      <c r="B165" t="s">
        <v>17</v>
      </c>
      <c r="C165" t="s">
        <v>18</v>
      </c>
      <c r="F165" t="s">
        <v>14</v>
      </c>
      <c r="G165" s="5">
        <v>480672.31</v>
      </c>
      <c r="H165">
        <f t="shared" si="4"/>
        <v>1</v>
      </c>
      <c r="I165" s="5">
        <f t="shared" si="5"/>
        <v>480672.31</v>
      </c>
      <c r="J165" t="s">
        <v>19</v>
      </c>
      <c r="K165" t="s">
        <v>20</v>
      </c>
    </row>
    <row r="166" spans="1:11" hidden="1" outlineLevel="2" x14ac:dyDescent="0.35">
      <c r="A166" t="s">
        <v>9</v>
      </c>
      <c r="B166" t="s">
        <v>21</v>
      </c>
      <c r="C166" t="s">
        <v>22</v>
      </c>
      <c r="D166" t="s">
        <v>23</v>
      </c>
      <c r="E166" t="s">
        <v>24</v>
      </c>
      <c r="F166" t="s">
        <v>14</v>
      </c>
      <c r="G166" s="5">
        <v>301551.08</v>
      </c>
      <c r="H166">
        <f t="shared" si="4"/>
        <v>1</v>
      </c>
      <c r="I166" s="5">
        <f t="shared" si="5"/>
        <v>301551.08</v>
      </c>
      <c r="J166" t="s">
        <v>25</v>
      </c>
      <c r="K166" t="s">
        <v>26</v>
      </c>
    </row>
    <row r="167" spans="1:11" hidden="1" outlineLevel="2" x14ac:dyDescent="0.35">
      <c r="A167" t="s">
        <v>9</v>
      </c>
      <c r="B167" t="s">
        <v>27</v>
      </c>
      <c r="C167" t="s">
        <v>28</v>
      </c>
      <c r="F167" t="s">
        <v>14</v>
      </c>
      <c r="G167" s="5">
        <v>91479.86</v>
      </c>
      <c r="H167">
        <f t="shared" si="4"/>
        <v>1</v>
      </c>
      <c r="I167" s="5">
        <f t="shared" si="5"/>
        <v>91479.86</v>
      </c>
      <c r="J167" t="s">
        <v>29</v>
      </c>
      <c r="K167" t="s">
        <v>30</v>
      </c>
    </row>
    <row r="168" spans="1:11" hidden="1" outlineLevel="2" x14ac:dyDescent="0.35">
      <c r="A168" t="s">
        <v>9</v>
      </c>
      <c r="B168" t="s">
        <v>59</v>
      </c>
      <c r="C168" t="s">
        <v>11</v>
      </c>
      <c r="D168" t="s">
        <v>60</v>
      </c>
      <c r="E168" t="s">
        <v>61</v>
      </c>
      <c r="F168" t="s">
        <v>14</v>
      </c>
      <c r="G168" s="5">
        <v>398696.06</v>
      </c>
      <c r="H168">
        <f t="shared" si="4"/>
        <v>1</v>
      </c>
      <c r="I168" s="5">
        <f t="shared" si="5"/>
        <v>398696.06</v>
      </c>
      <c r="J168" t="s">
        <v>62</v>
      </c>
      <c r="K168" t="s">
        <v>63</v>
      </c>
    </row>
    <row r="169" spans="1:11" hidden="1" outlineLevel="2" x14ac:dyDescent="0.35">
      <c r="A169" t="s">
        <v>9</v>
      </c>
      <c r="B169" t="s">
        <v>74</v>
      </c>
      <c r="C169" t="s">
        <v>75</v>
      </c>
      <c r="F169" t="s">
        <v>14</v>
      </c>
      <c r="G169" s="5">
        <v>4975348.3499999996</v>
      </c>
      <c r="H169">
        <f t="shared" si="4"/>
        <v>1</v>
      </c>
      <c r="I169" s="5">
        <f t="shared" si="5"/>
        <v>4975348.3499999996</v>
      </c>
      <c r="J169" t="s">
        <v>76</v>
      </c>
      <c r="K169" t="s">
        <v>77</v>
      </c>
    </row>
    <row r="170" spans="1:11" hidden="1" outlineLevel="2" x14ac:dyDescent="0.35">
      <c r="A170" t="s">
        <v>9</v>
      </c>
      <c r="B170" t="s">
        <v>81</v>
      </c>
      <c r="C170" t="s">
        <v>82</v>
      </c>
      <c r="F170" t="s">
        <v>14</v>
      </c>
      <c r="G170" s="5">
        <v>303372.96999999997</v>
      </c>
      <c r="H170">
        <f t="shared" si="4"/>
        <v>1</v>
      </c>
      <c r="I170" s="5">
        <f t="shared" si="5"/>
        <v>303372.96999999997</v>
      </c>
      <c r="J170" t="s">
        <v>83</v>
      </c>
      <c r="K170" t="s">
        <v>84</v>
      </c>
    </row>
    <row r="171" spans="1:11" hidden="1" outlineLevel="2" x14ac:dyDescent="0.35">
      <c r="A171" t="s">
        <v>9</v>
      </c>
      <c r="B171" t="s">
        <v>85</v>
      </c>
      <c r="C171" t="s">
        <v>86</v>
      </c>
      <c r="F171" t="s">
        <v>14</v>
      </c>
      <c r="G171" s="5">
        <v>433668.17</v>
      </c>
      <c r="H171">
        <f t="shared" si="4"/>
        <v>1</v>
      </c>
      <c r="I171" s="5">
        <f t="shared" si="5"/>
        <v>433668.17</v>
      </c>
      <c r="J171" t="s">
        <v>87</v>
      </c>
      <c r="K171" t="s">
        <v>88</v>
      </c>
    </row>
    <row r="172" spans="1:11" hidden="1" outlineLevel="2" x14ac:dyDescent="0.35">
      <c r="A172" t="s">
        <v>9</v>
      </c>
      <c r="B172" t="s">
        <v>98</v>
      </c>
      <c r="C172" t="s">
        <v>75</v>
      </c>
      <c r="F172" t="s">
        <v>14</v>
      </c>
      <c r="G172" s="5">
        <v>8156830.6399999997</v>
      </c>
      <c r="H172">
        <f t="shared" si="4"/>
        <v>1</v>
      </c>
      <c r="I172" s="5">
        <f t="shared" si="5"/>
        <v>8156830.6399999997</v>
      </c>
      <c r="J172" t="s">
        <v>99</v>
      </c>
      <c r="K172" t="s">
        <v>100</v>
      </c>
    </row>
    <row r="173" spans="1:11" hidden="1" outlineLevel="2" x14ac:dyDescent="0.35">
      <c r="A173" t="s">
        <v>9</v>
      </c>
      <c r="B173" t="s">
        <v>104</v>
      </c>
      <c r="C173" t="s">
        <v>82</v>
      </c>
      <c r="F173" t="s">
        <v>14</v>
      </c>
      <c r="G173" s="5">
        <v>468700.13</v>
      </c>
      <c r="H173">
        <f t="shared" si="4"/>
        <v>1</v>
      </c>
      <c r="I173" s="5">
        <f t="shared" si="5"/>
        <v>468700.13</v>
      </c>
      <c r="J173" t="s">
        <v>105</v>
      </c>
      <c r="K173" t="s">
        <v>45</v>
      </c>
    </row>
    <row r="174" spans="1:11" hidden="1" outlineLevel="2" x14ac:dyDescent="0.35">
      <c r="A174" t="s">
        <v>9</v>
      </c>
      <c r="B174" t="s">
        <v>106</v>
      </c>
      <c r="C174" t="s">
        <v>86</v>
      </c>
      <c r="F174" t="s">
        <v>14</v>
      </c>
      <c r="G174" s="5">
        <v>894427.85</v>
      </c>
      <c r="H174">
        <f t="shared" si="4"/>
        <v>1</v>
      </c>
      <c r="I174" s="5">
        <f t="shared" si="5"/>
        <v>894427.85</v>
      </c>
      <c r="J174" t="s">
        <v>107</v>
      </c>
      <c r="K174" t="s">
        <v>84</v>
      </c>
    </row>
    <row r="175" spans="1:11" hidden="1" outlineLevel="2" x14ac:dyDescent="0.35">
      <c r="A175" t="s">
        <v>9</v>
      </c>
      <c r="B175" t="s">
        <v>120</v>
      </c>
      <c r="C175" t="s">
        <v>75</v>
      </c>
      <c r="F175" t="s">
        <v>14</v>
      </c>
      <c r="G175" s="5">
        <v>6017975.21</v>
      </c>
      <c r="H175">
        <f t="shared" si="4"/>
        <v>1</v>
      </c>
      <c r="I175" s="5">
        <f t="shared" si="5"/>
        <v>6017975.21</v>
      </c>
      <c r="J175" t="s">
        <v>121</v>
      </c>
      <c r="K175" t="s">
        <v>122</v>
      </c>
    </row>
    <row r="176" spans="1:11" hidden="1" outlineLevel="2" x14ac:dyDescent="0.35">
      <c r="A176" t="s">
        <v>9</v>
      </c>
      <c r="B176" t="s">
        <v>125</v>
      </c>
      <c r="C176" t="s">
        <v>82</v>
      </c>
      <c r="F176" t="s">
        <v>14</v>
      </c>
      <c r="G176" s="5">
        <v>580340.80000000005</v>
      </c>
      <c r="H176">
        <f t="shared" si="4"/>
        <v>1</v>
      </c>
      <c r="I176" s="5">
        <f t="shared" si="5"/>
        <v>580340.80000000005</v>
      </c>
      <c r="J176" t="s">
        <v>126</v>
      </c>
      <c r="K176" t="s">
        <v>52</v>
      </c>
    </row>
    <row r="177" spans="1:11" hidden="1" outlineLevel="2" x14ac:dyDescent="0.35">
      <c r="A177" t="s">
        <v>9</v>
      </c>
      <c r="B177" t="s">
        <v>127</v>
      </c>
      <c r="C177" t="s">
        <v>86</v>
      </c>
      <c r="F177" t="s">
        <v>14</v>
      </c>
      <c r="G177" s="5">
        <v>934919.56</v>
      </c>
      <c r="H177">
        <f t="shared" si="4"/>
        <v>1</v>
      </c>
      <c r="I177" s="5">
        <f t="shared" si="5"/>
        <v>934919.56</v>
      </c>
      <c r="J177" t="s">
        <v>128</v>
      </c>
      <c r="K177" t="s">
        <v>63</v>
      </c>
    </row>
    <row r="178" spans="1:11" hidden="1" outlineLevel="2" x14ac:dyDescent="0.35">
      <c r="A178" t="s">
        <v>9</v>
      </c>
      <c r="B178" t="s">
        <v>184</v>
      </c>
      <c r="C178" t="s">
        <v>185</v>
      </c>
      <c r="F178" t="s">
        <v>186</v>
      </c>
      <c r="G178" s="5">
        <v>298441.27</v>
      </c>
      <c r="H178">
        <f t="shared" si="4"/>
        <v>1.0323379874570934E-2</v>
      </c>
      <c r="I178" s="5">
        <f t="shared" si="5"/>
        <v>3080.9226004593902</v>
      </c>
      <c r="J178" t="s">
        <v>187</v>
      </c>
      <c r="K178" t="s">
        <v>175</v>
      </c>
    </row>
    <row r="179" spans="1:11" hidden="1" outlineLevel="2" x14ac:dyDescent="0.35">
      <c r="A179" t="s">
        <v>9</v>
      </c>
      <c r="B179" t="s">
        <v>260</v>
      </c>
      <c r="C179" t="s">
        <v>185</v>
      </c>
      <c r="F179" t="s">
        <v>186</v>
      </c>
      <c r="G179" s="5">
        <v>208013.22</v>
      </c>
      <c r="H179">
        <f t="shared" si="4"/>
        <v>1.0323379874570934E-2</v>
      </c>
      <c r="I179" s="5">
        <f t="shared" si="5"/>
        <v>2147.3994889926962</v>
      </c>
      <c r="J179" t="s">
        <v>261</v>
      </c>
      <c r="K179" t="s">
        <v>45</v>
      </c>
    </row>
    <row r="180" spans="1:11" hidden="1" outlineLevel="2" x14ac:dyDescent="0.35">
      <c r="A180" t="s">
        <v>9</v>
      </c>
      <c r="B180" t="s">
        <v>281</v>
      </c>
      <c r="C180" t="s">
        <v>75</v>
      </c>
      <c r="F180" t="s">
        <v>14</v>
      </c>
      <c r="G180" s="5">
        <v>1146845.3500000001</v>
      </c>
      <c r="H180">
        <f t="shared" si="4"/>
        <v>1</v>
      </c>
      <c r="I180" s="5">
        <f t="shared" si="5"/>
        <v>1146845.3500000001</v>
      </c>
      <c r="J180" t="s">
        <v>282</v>
      </c>
      <c r="K180" t="s">
        <v>58</v>
      </c>
    </row>
    <row r="181" spans="1:11" hidden="1" outlineLevel="2" x14ac:dyDescent="0.35">
      <c r="A181" t="s">
        <v>9</v>
      </c>
      <c r="B181" t="s">
        <v>295</v>
      </c>
      <c r="C181" t="s">
        <v>11</v>
      </c>
      <c r="D181" t="s">
        <v>296</v>
      </c>
      <c r="E181" t="s">
        <v>297</v>
      </c>
      <c r="F181" t="s">
        <v>14</v>
      </c>
      <c r="G181" s="5">
        <v>4293980</v>
      </c>
      <c r="H181">
        <f t="shared" si="4"/>
        <v>1</v>
      </c>
      <c r="I181" s="5">
        <f t="shared" si="5"/>
        <v>4293980</v>
      </c>
      <c r="J181" t="s">
        <v>298</v>
      </c>
      <c r="K181" t="s">
        <v>299</v>
      </c>
    </row>
    <row r="182" spans="1:11" hidden="1" outlineLevel="2" x14ac:dyDescent="0.35">
      <c r="A182" t="s">
        <v>9</v>
      </c>
      <c r="B182" t="s">
        <v>300</v>
      </c>
      <c r="C182" t="s">
        <v>11</v>
      </c>
      <c r="D182" t="s">
        <v>301</v>
      </c>
      <c r="E182" t="s">
        <v>302</v>
      </c>
      <c r="F182" t="s">
        <v>14</v>
      </c>
      <c r="G182" s="5">
        <v>2499875</v>
      </c>
      <c r="H182">
        <f t="shared" si="4"/>
        <v>1</v>
      </c>
      <c r="I182" s="5">
        <f t="shared" si="5"/>
        <v>2499875</v>
      </c>
      <c r="J182" t="s">
        <v>303</v>
      </c>
      <c r="K182" t="s">
        <v>73</v>
      </c>
    </row>
    <row r="183" spans="1:11" hidden="1" outlineLevel="2" x14ac:dyDescent="0.35">
      <c r="A183" t="s">
        <v>9</v>
      </c>
      <c r="B183" t="s">
        <v>335</v>
      </c>
      <c r="C183" t="s">
        <v>336</v>
      </c>
      <c r="F183" t="s">
        <v>14</v>
      </c>
      <c r="G183" s="5">
        <v>4595308</v>
      </c>
      <c r="H183">
        <f t="shared" si="4"/>
        <v>1</v>
      </c>
      <c r="I183" s="5">
        <f t="shared" si="5"/>
        <v>4595308</v>
      </c>
      <c r="J183" t="s">
        <v>337</v>
      </c>
      <c r="K183" t="s">
        <v>238</v>
      </c>
    </row>
    <row r="184" spans="1:11" hidden="1" outlineLevel="2" x14ac:dyDescent="0.35">
      <c r="A184" t="s">
        <v>9</v>
      </c>
      <c r="B184" t="s">
        <v>300</v>
      </c>
      <c r="C184" t="s">
        <v>338</v>
      </c>
      <c r="F184" t="s">
        <v>14</v>
      </c>
      <c r="G184" s="5">
        <v>2464775</v>
      </c>
      <c r="H184">
        <f t="shared" si="4"/>
        <v>1</v>
      </c>
      <c r="I184" s="5">
        <f t="shared" si="5"/>
        <v>2464775</v>
      </c>
      <c r="J184" t="s">
        <v>339</v>
      </c>
      <c r="K184" t="s">
        <v>234</v>
      </c>
    </row>
    <row r="185" spans="1:11" hidden="1" outlineLevel="2" x14ac:dyDescent="0.35">
      <c r="A185" t="s">
        <v>9</v>
      </c>
      <c r="B185" t="s">
        <v>321</v>
      </c>
      <c r="C185" t="s">
        <v>340</v>
      </c>
      <c r="F185" t="s">
        <v>14</v>
      </c>
      <c r="G185" s="5">
        <v>2396640</v>
      </c>
      <c r="H185">
        <f t="shared" si="4"/>
        <v>1</v>
      </c>
      <c r="I185" s="5">
        <f t="shared" si="5"/>
        <v>2396640</v>
      </c>
      <c r="J185" t="s">
        <v>341</v>
      </c>
      <c r="K185" t="s">
        <v>58</v>
      </c>
    </row>
    <row r="186" spans="1:11" hidden="1" outlineLevel="2" x14ac:dyDescent="0.35">
      <c r="A186" t="s">
        <v>9</v>
      </c>
      <c r="B186" t="s">
        <v>342</v>
      </c>
      <c r="C186" t="s">
        <v>343</v>
      </c>
      <c r="F186" t="s">
        <v>14</v>
      </c>
      <c r="G186" s="5">
        <v>2297976</v>
      </c>
      <c r="H186">
        <f t="shared" si="4"/>
        <v>1</v>
      </c>
      <c r="I186" s="5">
        <f t="shared" si="5"/>
        <v>2297976</v>
      </c>
      <c r="J186" t="s">
        <v>344</v>
      </c>
      <c r="K186" t="s">
        <v>58</v>
      </c>
    </row>
    <row r="187" spans="1:11" hidden="1" outlineLevel="2" x14ac:dyDescent="0.35">
      <c r="A187" t="s">
        <v>9</v>
      </c>
      <c r="B187" t="s">
        <v>342</v>
      </c>
      <c r="C187" t="s">
        <v>345</v>
      </c>
      <c r="F187" t="s">
        <v>14</v>
      </c>
      <c r="G187" s="5">
        <v>2290064</v>
      </c>
      <c r="H187">
        <f t="shared" si="4"/>
        <v>1</v>
      </c>
      <c r="I187" s="5">
        <f t="shared" si="5"/>
        <v>2290064</v>
      </c>
      <c r="J187" t="s">
        <v>346</v>
      </c>
      <c r="K187" t="s">
        <v>157</v>
      </c>
    </row>
    <row r="188" spans="1:11" hidden="1" outlineLevel="2" x14ac:dyDescent="0.35">
      <c r="A188" t="s">
        <v>9</v>
      </c>
      <c r="B188" t="s">
        <v>359</v>
      </c>
      <c r="C188" t="s">
        <v>22</v>
      </c>
      <c r="D188" t="s">
        <v>23</v>
      </c>
      <c r="E188" t="s">
        <v>24</v>
      </c>
      <c r="F188" t="s">
        <v>14</v>
      </c>
      <c r="G188" s="5">
        <v>1994680</v>
      </c>
      <c r="H188">
        <f t="shared" si="4"/>
        <v>1</v>
      </c>
      <c r="I188" s="5">
        <f t="shared" si="5"/>
        <v>1994680</v>
      </c>
      <c r="J188" t="s">
        <v>360</v>
      </c>
      <c r="K188" t="s">
        <v>80</v>
      </c>
    </row>
    <row r="189" spans="1:11" hidden="1" outlineLevel="2" x14ac:dyDescent="0.35">
      <c r="A189" t="s">
        <v>9</v>
      </c>
      <c r="B189" t="s">
        <v>361</v>
      </c>
      <c r="C189" t="s">
        <v>22</v>
      </c>
      <c r="D189" t="s">
        <v>248</v>
      </c>
      <c r="E189" t="s">
        <v>362</v>
      </c>
      <c r="F189" t="s">
        <v>14</v>
      </c>
      <c r="G189" s="5">
        <v>1193724</v>
      </c>
      <c r="H189">
        <f t="shared" si="4"/>
        <v>1</v>
      </c>
      <c r="I189" s="5">
        <f t="shared" si="5"/>
        <v>1193724</v>
      </c>
      <c r="J189" t="s">
        <v>363</v>
      </c>
      <c r="K189" t="s">
        <v>133</v>
      </c>
    </row>
    <row r="190" spans="1:11" hidden="1" outlineLevel="2" x14ac:dyDescent="0.35">
      <c r="A190" t="s">
        <v>9</v>
      </c>
      <c r="B190" t="s">
        <v>17</v>
      </c>
      <c r="C190" t="s">
        <v>11</v>
      </c>
      <c r="D190" t="s">
        <v>296</v>
      </c>
      <c r="E190" t="s">
        <v>297</v>
      </c>
      <c r="F190" t="s">
        <v>14</v>
      </c>
      <c r="G190" s="5">
        <v>493026</v>
      </c>
      <c r="H190">
        <f t="shared" si="4"/>
        <v>1</v>
      </c>
      <c r="I190" s="5">
        <f t="shared" si="5"/>
        <v>493026</v>
      </c>
      <c r="J190" t="s">
        <v>364</v>
      </c>
      <c r="K190" t="s">
        <v>365</v>
      </c>
    </row>
    <row r="191" spans="1:11" hidden="1" outlineLevel="2" x14ac:dyDescent="0.35">
      <c r="A191" t="s">
        <v>9</v>
      </c>
      <c r="B191" t="s">
        <v>47</v>
      </c>
      <c r="C191" t="s">
        <v>11</v>
      </c>
      <c r="D191" t="s">
        <v>366</v>
      </c>
      <c r="E191" t="s">
        <v>367</v>
      </c>
      <c r="F191" t="s">
        <v>14</v>
      </c>
      <c r="G191" s="5">
        <v>199330</v>
      </c>
      <c r="H191">
        <f t="shared" si="4"/>
        <v>1</v>
      </c>
      <c r="I191" s="5">
        <f t="shared" si="5"/>
        <v>199330</v>
      </c>
      <c r="J191" t="s">
        <v>368</v>
      </c>
      <c r="K191" t="s">
        <v>168</v>
      </c>
    </row>
    <row r="192" spans="1:11" hidden="1" outlineLevel="2" x14ac:dyDescent="0.35">
      <c r="A192" t="s">
        <v>9</v>
      </c>
      <c r="B192" t="s">
        <v>47</v>
      </c>
      <c r="C192" t="s">
        <v>22</v>
      </c>
      <c r="D192" t="s">
        <v>23</v>
      </c>
      <c r="E192" t="s">
        <v>24</v>
      </c>
      <c r="F192" t="s">
        <v>14</v>
      </c>
      <c r="G192" s="5">
        <v>199468</v>
      </c>
      <c r="H192">
        <f t="shared" si="4"/>
        <v>1</v>
      </c>
      <c r="I192" s="5">
        <f t="shared" si="5"/>
        <v>199468</v>
      </c>
      <c r="J192" t="s">
        <v>369</v>
      </c>
      <c r="K192" t="s">
        <v>168</v>
      </c>
    </row>
    <row r="193" spans="1:11" hidden="1" outlineLevel="2" x14ac:dyDescent="0.35">
      <c r="A193" t="s">
        <v>9</v>
      </c>
      <c r="B193" t="s">
        <v>17</v>
      </c>
      <c r="C193" t="s">
        <v>370</v>
      </c>
      <c r="F193" t="s">
        <v>14</v>
      </c>
      <c r="G193" s="5">
        <v>503109.44</v>
      </c>
      <c r="H193">
        <f t="shared" si="4"/>
        <v>1</v>
      </c>
      <c r="I193" s="5">
        <f t="shared" si="5"/>
        <v>503109.44</v>
      </c>
      <c r="J193" t="s">
        <v>371</v>
      </c>
      <c r="K193" t="s">
        <v>30</v>
      </c>
    </row>
    <row r="194" spans="1:11" hidden="1" outlineLevel="2" x14ac:dyDescent="0.35">
      <c r="A194" t="s">
        <v>9</v>
      </c>
      <c r="B194" t="s">
        <v>59</v>
      </c>
      <c r="C194" t="s">
        <v>28</v>
      </c>
      <c r="F194" t="s">
        <v>14</v>
      </c>
      <c r="G194" s="5">
        <v>399788</v>
      </c>
      <c r="H194">
        <f t="shared" si="4"/>
        <v>1</v>
      </c>
      <c r="I194" s="5">
        <f t="shared" si="5"/>
        <v>399788</v>
      </c>
      <c r="J194" t="s">
        <v>372</v>
      </c>
      <c r="K194" t="s">
        <v>183</v>
      </c>
    </row>
    <row r="195" spans="1:11" hidden="1" outlineLevel="2" x14ac:dyDescent="0.35">
      <c r="A195" t="s">
        <v>9</v>
      </c>
      <c r="B195" t="s">
        <v>389</v>
      </c>
      <c r="C195" t="s">
        <v>75</v>
      </c>
      <c r="F195" t="s">
        <v>14</v>
      </c>
      <c r="G195" s="5">
        <v>36317845.840000004</v>
      </c>
      <c r="H195">
        <f t="shared" si="4"/>
        <v>1</v>
      </c>
      <c r="I195" s="5">
        <f t="shared" si="5"/>
        <v>36317845.840000004</v>
      </c>
      <c r="J195" t="s">
        <v>390</v>
      </c>
      <c r="K195" t="s">
        <v>388</v>
      </c>
    </row>
    <row r="196" spans="1:11" hidden="1" outlineLevel="2" x14ac:dyDescent="0.35">
      <c r="A196" t="s">
        <v>9</v>
      </c>
      <c r="B196" t="s">
        <v>400</v>
      </c>
      <c r="C196" t="s">
        <v>82</v>
      </c>
      <c r="F196" t="s">
        <v>14</v>
      </c>
      <c r="G196" s="5">
        <v>1050523.32</v>
      </c>
      <c r="H196">
        <f t="shared" si="4"/>
        <v>1</v>
      </c>
      <c r="I196" s="5">
        <f t="shared" si="5"/>
        <v>1050523.32</v>
      </c>
      <c r="J196" t="s">
        <v>401</v>
      </c>
      <c r="K196" t="s">
        <v>137</v>
      </c>
    </row>
    <row r="197" spans="1:11" hidden="1" outlineLevel="2" x14ac:dyDescent="0.35">
      <c r="A197" t="s">
        <v>9</v>
      </c>
      <c r="B197" t="s">
        <v>430</v>
      </c>
      <c r="C197" t="s">
        <v>431</v>
      </c>
      <c r="F197" t="s">
        <v>14</v>
      </c>
      <c r="G197" s="5">
        <v>7894990.4900000002</v>
      </c>
      <c r="H197">
        <f t="shared" si="4"/>
        <v>1</v>
      </c>
      <c r="I197" s="5">
        <f t="shared" si="5"/>
        <v>7894990.4900000002</v>
      </c>
      <c r="J197" t="s">
        <v>432</v>
      </c>
      <c r="K197" t="s">
        <v>217</v>
      </c>
    </row>
    <row r="198" spans="1:11" hidden="1" outlineLevel="2" x14ac:dyDescent="0.35">
      <c r="A198" t="s">
        <v>9</v>
      </c>
      <c r="B198" t="s">
        <v>433</v>
      </c>
      <c r="C198" t="s">
        <v>75</v>
      </c>
      <c r="F198" t="s">
        <v>14</v>
      </c>
      <c r="G198" s="5">
        <v>3190116.08</v>
      </c>
      <c r="H198">
        <f t="shared" si="4"/>
        <v>1</v>
      </c>
      <c r="I198" s="5">
        <f t="shared" si="5"/>
        <v>3190116.08</v>
      </c>
      <c r="J198" t="s">
        <v>434</v>
      </c>
      <c r="K198" t="s">
        <v>424</v>
      </c>
    </row>
    <row r="199" spans="1:11" hidden="1" outlineLevel="2" x14ac:dyDescent="0.35">
      <c r="A199" t="s">
        <v>9</v>
      </c>
      <c r="B199" t="s">
        <v>441</v>
      </c>
      <c r="C199" t="s">
        <v>75</v>
      </c>
      <c r="F199" t="s">
        <v>14</v>
      </c>
      <c r="G199" s="5">
        <v>27827149.640000001</v>
      </c>
      <c r="H199">
        <f t="shared" si="4"/>
        <v>1</v>
      </c>
      <c r="I199" s="5">
        <f t="shared" si="5"/>
        <v>27827149.640000001</v>
      </c>
      <c r="J199" t="s">
        <v>442</v>
      </c>
      <c r="K199" t="s">
        <v>443</v>
      </c>
    </row>
    <row r="200" spans="1:11" hidden="1" outlineLevel="2" x14ac:dyDescent="0.35">
      <c r="A200" t="s">
        <v>9</v>
      </c>
      <c r="B200" t="s">
        <v>444</v>
      </c>
      <c r="C200" t="s">
        <v>431</v>
      </c>
      <c r="F200" t="s">
        <v>14</v>
      </c>
      <c r="G200" s="5">
        <v>8985782.9499999993</v>
      </c>
      <c r="H200">
        <f t="shared" si="4"/>
        <v>1</v>
      </c>
      <c r="I200" s="5">
        <f t="shared" si="5"/>
        <v>8985782.9499999993</v>
      </c>
      <c r="J200" t="s">
        <v>445</v>
      </c>
      <c r="K200" t="s">
        <v>446</v>
      </c>
    </row>
    <row r="201" spans="1:11" hidden="1" outlineLevel="2" x14ac:dyDescent="0.35">
      <c r="A201" t="s">
        <v>9</v>
      </c>
      <c r="B201" t="s">
        <v>479</v>
      </c>
      <c r="C201" t="s">
        <v>86</v>
      </c>
      <c r="F201" t="s">
        <v>14</v>
      </c>
      <c r="G201" s="5">
        <v>143887.79999999999</v>
      </c>
      <c r="H201">
        <f t="shared" si="4"/>
        <v>1</v>
      </c>
      <c r="I201" s="5">
        <f t="shared" si="5"/>
        <v>143887.79999999999</v>
      </c>
      <c r="J201" t="s">
        <v>480</v>
      </c>
      <c r="K201" t="s">
        <v>316</v>
      </c>
    </row>
    <row r="202" spans="1:11" hidden="1" outlineLevel="2" x14ac:dyDescent="0.35">
      <c r="A202" t="s">
        <v>9</v>
      </c>
      <c r="B202" t="s">
        <v>481</v>
      </c>
      <c r="C202" t="s">
        <v>82</v>
      </c>
      <c r="F202" t="s">
        <v>14</v>
      </c>
      <c r="G202" s="5">
        <v>96481.51</v>
      </c>
      <c r="H202">
        <f t="shared" si="4"/>
        <v>1</v>
      </c>
      <c r="I202" s="5">
        <f t="shared" si="5"/>
        <v>96481.51</v>
      </c>
      <c r="J202" t="s">
        <v>482</v>
      </c>
      <c r="K202" t="s">
        <v>103</v>
      </c>
    </row>
    <row r="203" spans="1:11" hidden="1" outlineLevel="2" x14ac:dyDescent="0.35">
      <c r="A203" t="s">
        <v>9</v>
      </c>
      <c r="B203" t="s">
        <v>488</v>
      </c>
      <c r="C203" t="s">
        <v>82</v>
      </c>
      <c r="F203" t="s">
        <v>14</v>
      </c>
      <c r="G203" s="5">
        <v>989381.91</v>
      </c>
      <c r="H203">
        <f t="shared" si="4"/>
        <v>1</v>
      </c>
      <c r="I203" s="5">
        <f t="shared" si="5"/>
        <v>989381.91</v>
      </c>
      <c r="J203" t="s">
        <v>489</v>
      </c>
      <c r="K203" t="s">
        <v>417</v>
      </c>
    </row>
    <row r="204" spans="1:11" hidden="1" outlineLevel="2" x14ac:dyDescent="0.35">
      <c r="A204" t="s">
        <v>9</v>
      </c>
      <c r="B204" t="s">
        <v>496</v>
      </c>
      <c r="C204" t="s">
        <v>75</v>
      </c>
      <c r="F204" t="s">
        <v>14</v>
      </c>
      <c r="G204" s="5">
        <v>23976665.030000001</v>
      </c>
      <c r="H204">
        <f t="shared" si="4"/>
        <v>1</v>
      </c>
      <c r="I204" s="5">
        <f t="shared" si="5"/>
        <v>23976665.030000001</v>
      </c>
      <c r="J204" t="s">
        <v>497</v>
      </c>
      <c r="K204" t="s">
        <v>427</v>
      </c>
    </row>
    <row r="205" spans="1:11" hidden="1" outlineLevel="2" x14ac:dyDescent="0.35">
      <c r="A205" t="s">
        <v>9</v>
      </c>
      <c r="B205" t="s">
        <v>501</v>
      </c>
      <c r="C205" t="s">
        <v>502</v>
      </c>
      <c r="F205" t="s">
        <v>14</v>
      </c>
      <c r="G205" s="5">
        <v>189758.8</v>
      </c>
      <c r="H205">
        <f t="shared" si="4"/>
        <v>1</v>
      </c>
      <c r="I205" s="5">
        <f t="shared" si="5"/>
        <v>189758.8</v>
      </c>
      <c r="J205" t="s">
        <v>503</v>
      </c>
      <c r="K205" t="s">
        <v>193</v>
      </c>
    </row>
    <row r="206" spans="1:11" hidden="1" outlineLevel="2" x14ac:dyDescent="0.35">
      <c r="A206" t="s">
        <v>9</v>
      </c>
      <c r="B206" t="s">
        <v>27</v>
      </c>
      <c r="C206" t="s">
        <v>28</v>
      </c>
      <c r="F206" t="s">
        <v>14</v>
      </c>
      <c r="G206" s="5">
        <v>91629.5</v>
      </c>
      <c r="H206">
        <f t="shared" si="4"/>
        <v>1</v>
      </c>
      <c r="I206" s="5">
        <f t="shared" si="5"/>
        <v>91629.5</v>
      </c>
      <c r="J206" t="s">
        <v>504</v>
      </c>
      <c r="K206" t="s">
        <v>505</v>
      </c>
    </row>
    <row r="207" spans="1:11" hidden="1" outlineLevel="2" x14ac:dyDescent="0.35">
      <c r="A207" t="s">
        <v>9</v>
      </c>
      <c r="B207" t="s">
        <v>512</v>
      </c>
      <c r="C207" t="s">
        <v>75</v>
      </c>
      <c r="F207" t="s">
        <v>14</v>
      </c>
      <c r="G207" s="5">
        <v>1143565.57</v>
      </c>
      <c r="H207">
        <f t="shared" si="4"/>
        <v>1</v>
      </c>
      <c r="I207" s="5">
        <f t="shared" si="5"/>
        <v>1143565.57</v>
      </c>
      <c r="J207" t="s">
        <v>513</v>
      </c>
      <c r="K207" t="s">
        <v>63</v>
      </c>
    </row>
    <row r="208" spans="1:11" hidden="1" outlineLevel="2" x14ac:dyDescent="0.35">
      <c r="A208" t="s">
        <v>9</v>
      </c>
      <c r="B208" t="s">
        <v>488</v>
      </c>
      <c r="C208" t="s">
        <v>11</v>
      </c>
      <c r="D208" t="s">
        <v>519</v>
      </c>
      <c r="E208" t="s">
        <v>520</v>
      </c>
      <c r="F208" t="s">
        <v>14</v>
      </c>
      <c r="G208" s="5">
        <v>49551.64</v>
      </c>
      <c r="H208">
        <f t="shared" si="4"/>
        <v>1</v>
      </c>
      <c r="I208" s="5">
        <f t="shared" si="5"/>
        <v>49551.64</v>
      </c>
      <c r="J208" t="s">
        <v>521</v>
      </c>
      <c r="K208" t="s">
        <v>505</v>
      </c>
    </row>
    <row r="209" spans="1:11" hidden="1" outlineLevel="2" x14ac:dyDescent="0.35">
      <c r="A209" t="s">
        <v>9</v>
      </c>
      <c r="B209" t="s">
        <v>359</v>
      </c>
      <c r="C209" t="s">
        <v>11</v>
      </c>
      <c r="D209" t="s">
        <v>322</v>
      </c>
      <c r="E209" t="s">
        <v>525</v>
      </c>
      <c r="F209" t="s">
        <v>14</v>
      </c>
      <c r="G209" s="5">
        <v>1979620</v>
      </c>
      <c r="H209">
        <f t="shared" si="4"/>
        <v>1</v>
      </c>
      <c r="I209" s="5">
        <f t="shared" si="5"/>
        <v>1979620</v>
      </c>
      <c r="J209" t="s">
        <v>526</v>
      </c>
      <c r="K209" t="s">
        <v>527</v>
      </c>
    </row>
    <row r="210" spans="1:11" hidden="1" outlineLevel="2" x14ac:dyDescent="0.35">
      <c r="A210" t="s">
        <v>9</v>
      </c>
      <c r="B210" t="s">
        <v>531</v>
      </c>
      <c r="C210" t="s">
        <v>75</v>
      </c>
      <c r="F210" t="s">
        <v>14</v>
      </c>
      <c r="G210" s="5">
        <v>390676.78</v>
      </c>
      <c r="H210">
        <f t="shared" si="4"/>
        <v>1</v>
      </c>
      <c r="I210" s="5">
        <f t="shared" si="5"/>
        <v>390676.78</v>
      </c>
      <c r="J210" t="s">
        <v>532</v>
      </c>
      <c r="K210" t="s">
        <v>533</v>
      </c>
    </row>
    <row r="211" spans="1:11" hidden="1" outlineLevel="2" x14ac:dyDescent="0.35">
      <c r="A211" t="s">
        <v>9</v>
      </c>
      <c r="B211" t="s">
        <v>546</v>
      </c>
      <c r="C211" t="s">
        <v>11</v>
      </c>
      <c r="D211" t="s">
        <v>519</v>
      </c>
      <c r="E211" t="s">
        <v>520</v>
      </c>
      <c r="F211" t="s">
        <v>14</v>
      </c>
      <c r="G211" s="5">
        <v>398807</v>
      </c>
      <c r="H211">
        <f t="shared" si="4"/>
        <v>1</v>
      </c>
      <c r="I211" s="5">
        <f t="shared" si="5"/>
        <v>398807</v>
      </c>
      <c r="J211" t="s">
        <v>547</v>
      </c>
      <c r="K211" t="s">
        <v>234</v>
      </c>
    </row>
    <row r="212" spans="1:11" hidden="1" outlineLevel="2" x14ac:dyDescent="0.35">
      <c r="A212" t="s">
        <v>9</v>
      </c>
      <c r="B212" t="s">
        <v>21</v>
      </c>
      <c r="C212" t="s">
        <v>28</v>
      </c>
      <c r="F212" t="s">
        <v>14</v>
      </c>
      <c r="G212" s="5">
        <v>289684</v>
      </c>
      <c r="H212">
        <f t="shared" si="4"/>
        <v>1</v>
      </c>
      <c r="I212" s="5">
        <f t="shared" si="5"/>
        <v>289684</v>
      </c>
      <c r="J212" t="s">
        <v>548</v>
      </c>
      <c r="K212" t="s">
        <v>157</v>
      </c>
    </row>
    <row r="213" spans="1:11" hidden="1" outlineLevel="2" x14ac:dyDescent="0.35">
      <c r="A213" t="s">
        <v>9</v>
      </c>
      <c r="B213" t="s">
        <v>562</v>
      </c>
      <c r="C213" t="s">
        <v>75</v>
      </c>
      <c r="F213" t="s">
        <v>14</v>
      </c>
      <c r="G213" s="5">
        <v>518957.33</v>
      </c>
      <c r="H213">
        <f t="shared" si="4"/>
        <v>1</v>
      </c>
      <c r="I213" s="5">
        <f t="shared" si="5"/>
        <v>518957.33</v>
      </c>
      <c r="J213" t="s">
        <v>563</v>
      </c>
      <c r="K213" t="s">
        <v>234</v>
      </c>
    </row>
    <row r="214" spans="1:11" outlineLevel="1" collapsed="1" x14ac:dyDescent="0.35">
      <c r="A214" s="2" t="s">
        <v>587</v>
      </c>
      <c r="I214" s="5">
        <f>SUBTOTAL(9,I164:I213)</f>
        <v>167320398.07208943</v>
      </c>
    </row>
    <row r="215" spans="1:11" hidden="1" outlineLevel="2" x14ac:dyDescent="0.35">
      <c r="A215" t="s">
        <v>178</v>
      </c>
      <c r="B215" t="s">
        <v>179</v>
      </c>
      <c r="C215" t="s">
        <v>180</v>
      </c>
      <c r="F215" t="s">
        <v>181</v>
      </c>
      <c r="G215" s="5">
        <v>549538.68000000005</v>
      </c>
      <c r="H215">
        <f t="shared" ref="H215:H219" si="6">_xlfn.XLOOKUP(F215, $N$2:$N$12, $O$2:$O$12)</f>
        <v>0.63609185166338023</v>
      </c>
      <c r="I215" s="5">
        <f t="shared" ref="I215:I219" si="7">G215*H215</f>
        <v>349557.07652184978</v>
      </c>
      <c r="J215" t="s">
        <v>182</v>
      </c>
      <c r="K215" t="s">
        <v>183</v>
      </c>
    </row>
    <row r="216" spans="1:11" hidden="1" outlineLevel="2" x14ac:dyDescent="0.35">
      <c r="A216" t="s">
        <v>178</v>
      </c>
      <c r="B216" t="s">
        <v>279</v>
      </c>
      <c r="C216" t="s">
        <v>180</v>
      </c>
      <c r="F216" t="s">
        <v>181</v>
      </c>
      <c r="G216" s="5">
        <v>600411.68000000005</v>
      </c>
      <c r="H216">
        <f t="shared" si="6"/>
        <v>0.63609185166338023</v>
      </c>
      <c r="I216" s="5">
        <f t="shared" si="7"/>
        <v>381916.97729152098</v>
      </c>
      <c r="J216" t="s">
        <v>280</v>
      </c>
      <c r="K216" t="s">
        <v>175</v>
      </c>
    </row>
    <row r="217" spans="1:11" hidden="1" outlineLevel="2" x14ac:dyDescent="0.35">
      <c r="A217" t="s">
        <v>178</v>
      </c>
      <c r="B217" t="s">
        <v>411</v>
      </c>
      <c r="C217" t="s">
        <v>180</v>
      </c>
      <c r="F217" t="s">
        <v>181</v>
      </c>
      <c r="G217" s="5">
        <v>1205516.42</v>
      </c>
      <c r="H217">
        <f t="shared" si="6"/>
        <v>0.63609185166338023</v>
      </c>
      <c r="I217" s="5">
        <f t="shared" si="7"/>
        <v>766819.17180840916</v>
      </c>
      <c r="J217" t="s">
        <v>412</v>
      </c>
      <c r="K217" t="s">
        <v>110</v>
      </c>
    </row>
    <row r="218" spans="1:11" hidden="1" outlineLevel="2" x14ac:dyDescent="0.35">
      <c r="A218" t="s">
        <v>178</v>
      </c>
      <c r="B218" t="s">
        <v>428</v>
      </c>
      <c r="C218" t="s">
        <v>180</v>
      </c>
      <c r="F218" t="s">
        <v>181</v>
      </c>
      <c r="G218" s="5">
        <v>1242094.8799999999</v>
      </c>
      <c r="H218">
        <f t="shared" si="6"/>
        <v>0.63609185166338023</v>
      </c>
      <c r="I218" s="5">
        <f t="shared" si="7"/>
        <v>790086.43216080405</v>
      </c>
      <c r="J218" t="s">
        <v>429</v>
      </c>
      <c r="K218" t="s">
        <v>417</v>
      </c>
    </row>
    <row r="219" spans="1:11" hidden="1" outlineLevel="2" x14ac:dyDescent="0.35">
      <c r="A219" t="s">
        <v>178</v>
      </c>
      <c r="B219" t="s">
        <v>461</v>
      </c>
      <c r="C219" t="s">
        <v>180</v>
      </c>
      <c r="F219" t="s">
        <v>181</v>
      </c>
      <c r="G219" s="5">
        <v>2261629.64</v>
      </c>
      <c r="H219">
        <f t="shared" si="6"/>
        <v>0.63609185166338023</v>
      </c>
      <c r="I219" s="5">
        <f t="shared" si="7"/>
        <v>1438604.1854843842</v>
      </c>
      <c r="J219" t="s">
        <v>462</v>
      </c>
      <c r="K219" t="s">
        <v>306</v>
      </c>
    </row>
    <row r="220" spans="1:11" outlineLevel="1" collapsed="1" x14ac:dyDescent="0.35">
      <c r="A220" s="2" t="s">
        <v>588</v>
      </c>
      <c r="I220" s="5">
        <f>SUBTOTAL(9,I215:I219)</f>
        <v>3726983.8432669681</v>
      </c>
    </row>
    <row r="221" spans="1:11" x14ac:dyDescent="0.35">
      <c r="A221" s="2" t="s">
        <v>589</v>
      </c>
      <c r="I221" s="5">
        <f>SUBTOTAL(9,I2:I219)</f>
        <v>534294250.31991947</v>
      </c>
    </row>
  </sheetData>
  <sortState xmlns:xlrd2="http://schemas.microsoft.com/office/spreadsheetml/2017/richdata2" ref="A2:K219">
    <sortCondition ref="A2:A219"/>
  </sortState>
  <conditionalFormatting sqref="A1:K221">
    <cfRule type="expression" dxfId="1" priority="2">
      <formula>ISNUMBER(SEARCH("Total",A2))</formula>
    </cfRule>
  </conditionalFormatting>
  <conditionalFormatting sqref="I2:I221">
    <cfRule type="expression" dxfId="0" priority="1">
      <formula>ISNUMBER(SEARCH("Total", $A2))</formula>
    </cfRule>
  </conditionalFormatting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Manfredi Orlando</cp:lastModifiedBy>
  <dcterms:created xsi:type="dcterms:W3CDTF">2025-05-22T07:53:01Z</dcterms:created>
  <dcterms:modified xsi:type="dcterms:W3CDTF">2025-05-25T22:01:14Z</dcterms:modified>
</cp:coreProperties>
</file>